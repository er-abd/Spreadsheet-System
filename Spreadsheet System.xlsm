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mc:AlternateContent xmlns:mc="http://schemas.openxmlformats.org/markup-compatibility/2006">
    <mc:Choice Requires="x15">
      <x15ac:absPath xmlns:x15ac="http://schemas.microsoft.com/office/spreadsheetml/2010/11/ac" url="C:\Users\Abdullah\Desktop\Abdullah Alabdullah. Spreadsheet System ---\"/>
    </mc:Choice>
  </mc:AlternateContent>
  <xr:revisionPtr revIDLastSave="0" documentId="13_ncr:1_{437001DC-F798-4270-B16D-A0F83E7ACAD0}" xr6:coauthVersionLast="46" xr6:coauthVersionMax="46" xr10:uidLastSave="{00000000-0000-0000-0000-000000000000}"/>
  <bookViews>
    <workbookView xWindow="-108" yWindow="-108" windowWidth="23256" windowHeight="12576" tabRatio="831" xr2:uid="{00000000-000D-0000-FFFF-FFFF00000000}"/>
  </bookViews>
  <sheets>
    <sheet name="Menu" sheetId="6" r:id="rId1"/>
    <sheet name="Student search" sheetId="8" r:id="rId2"/>
    <sheet name="Data_valid" sheetId="13" state="hidden" r:id="rId3"/>
    <sheet name="Cyber Security (Level 1)" sheetId="1" r:id="rId4"/>
    <sheet name="Cyber Security (Level 2)" sheetId="4" r:id="rId5"/>
    <sheet name="Cyber Security (Level 3)" sheetId="3" r:id="rId6"/>
    <sheet name="Analysis Sheet" sheetId="12" r:id="rId7"/>
    <sheet name="Graphs" sheetId="14" r:id="rId8"/>
    <sheet name="resourse" sheetId="9" state="hidden" r:id="rId9"/>
  </sheets>
  <definedNames>
    <definedName name="_xlnm._FilterDatabase" localSheetId="3" hidden="1">'Cyber Security (Level 1)'!$A$6:$A$35</definedName>
    <definedName name="D.O.B" localSheetId="4">'Cyber Security (Level 2)'!$E$4:$E$35</definedName>
    <definedName name="D.O.B" localSheetId="5">'Cyber Security (Level 3)'!$E$4:$E$35</definedName>
    <definedName name="D.O.B">'Cyber Security (Level 1)'!$E$4:$E$35</definedName>
    <definedName name="First_Name" localSheetId="4">'Cyber Security (Level 2)'!$A$4:$A$35</definedName>
    <definedName name="First_Name" localSheetId="5">'Cyber Security (Level 3)'!$A$4:$A$35</definedName>
    <definedName name="First_Name">'Cyber Security (Level 1)'!$A$4:$A$35</definedName>
    <definedName name="FirstName">'Cyber Security (Level 1)'!$A$6:$A$35</definedName>
    <definedName name="FirstName1">'Cyber Security (Level 1)'!$A$6:$A$35</definedName>
    <definedName name="FirstName2">'Cyber Security (Level 2)'!$A$6:$A$35</definedName>
    <definedName name="FirstName3">'Cyber Security (Level 3)'!$A$6:$A$35</definedName>
    <definedName name="Gender" localSheetId="4">'Cyber Security (Level 2)'!$C$4:$C$35</definedName>
    <definedName name="Gender" localSheetId="5">'Cyber Security (Level 3)'!$C$4:$C$35</definedName>
    <definedName name="Gender">'Cyber Security (Level 1)'!$C$4:$C$35</definedName>
    <definedName name="ID_number" localSheetId="4">'Cyber Security (Level 2)'!$D$4:$D$35</definedName>
    <definedName name="ID_number" localSheetId="5">'Cyber Security (Level 3)'!$D$4:$D$35</definedName>
    <definedName name="ID_number">'Cyber Security (Level 1)'!$D$4:$D$35</definedName>
    <definedName name="Last_Name" localSheetId="4">'Cyber Security (Level 2)'!$B$4:$B$35</definedName>
    <definedName name="Last_Name" localSheetId="5">'Cyber Security (Level 3)'!$B$4:$B$35</definedName>
    <definedName name="Last_Name">'Cyber Security (Level 1)'!$B$4:$B$35</definedName>
    <definedName name="Level1">Table1[#All]</definedName>
    <definedName name="Slicer_1st_Mock__Grade_3">#N/A</definedName>
    <definedName name="Slicer_1st_Mock__Grade_31">#N/A</definedName>
    <definedName name="Slicer_1st_Mock__Grade_32">#N/A</definedName>
    <definedName name="Slicer_1st_Modular__Grade">#N/A</definedName>
    <definedName name="Slicer_1st_Modular__Grade1">#N/A</definedName>
    <definedName name="Slicer_1st_Modular__Grade2">#N/A</definedName>
    <definedName name="Slicer_2nd_Mock__Grade_5">#N/A</definedName>
    <definedName name="Slicer_2nd_Mock__Grade_51">#N/A</definedName>
    <definedName name="Slicer_2nd_Mock__Grade_52">#N/A</definedName>
    <definedName name="Slicer_2nd_Modular__Grade">#N/A</definedName>
    <definedName name="Slicer_2nd_Modular__Grade1">#N/A</definedName>
    <definedName name="Slicer_2nd_Modular__Grade2">#N/A</definedName>
    <definedName name="Slicer_3ed_Mock__Grade_7">#N/A</definedName>
    <definedName name="Slicer_3ed_Mock__Grade_71">#N/A</definedName>
    <definedName name="Slicer_3ed_Mock__Grade_72">#N/A</definedName>
    <definedName name="Slicer_3ed_Modular__Grade">#N/A</definedName>
    <definedName name="Slicer_3ed_Modular__Grade1">#N/A</definedName>
    <definedName name="Slicer_3ed_Modular__Grade2">#N/A</definedName>
    <definedName name="Slicer_4th_Mock__Grade_9">#N/A</definedName>
    <definedName name="Slicer_4th_Mock__Grade_91">#N/A</definedName>
    <definedName name="Slicer_4th_Modular__Grade">#N/A</definedName>
    <definedName name="Slicer_4th_Modular__Grade1">#N/A</definedName>
    <definedName name="Slicer_4th_Modular__Grade2">#N/A</definedName>
  </definedNames>
  <calcPr calcId="191029"/>
  <pivotCaches>
    <pivotCache cacheId="0" r:id="rId10"/>
    <pivotCache cacheId="1" r:id="rId11"/>
    <pivotCache cacheId="2"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7" i="3" l="1"/>
  <c r="AC7" i="3"/>
  <c r="AA7" i="3"/>
  <c r="Z7" i="3"/>
  <c r="X7" i="3"/>
  <c r="W7" i="3"/>
  <c r="U7" i="3"/>
  <c r="T7" i="3"/>
  <c r="R7" i="3"/>
  <c r="Q7" i="3"/>
  <c r="P7" i="3"/>
  <c r="N7" i="3"/>
  <c r="M7" i="3"/>
  <c r="K7" i="3"/>
  <c r="J7" i="3"/>
  <c r="H7" i="3"/>
  <c r="G7" i="3"/>
  <c r="AD6" i="3"/>
  <c r="AC6" i="3"/>
  <c r="AA6" i="3"/>
  <c r="Z6" i="3"/>
  <c r="X6" i="3"/>
  <c r="W6" i="3"/>
  <c r="U6" i="3"/>
  <c r="T6" i="3"/>
  <c r="R6" i="3"/>
  <c r="Q6" i="3"/>
  <c r="P6" i="3"/>
  <c r="N6" i="3"/>
  <c r="M6" i="3"/>
  <c r="K6" i="3"/>
  <c r="J6" i="3"/>
  <c r="H6" i="3"/>
  <c r="G6" i="3"/>
  <c r="G6" i="1"/>
  <c r="P8" i="4" l="1"/>
  <c r="S39" i="3" l="1"/>
  <c r="S39" i="4"/>
  <c r="S39" i="1" l="1"/>
  <c r="P13" i="8" l="1"/>
  <c r="J31" i="8"/>
  <c r="R8" i="3" l="1"/>
  <c r="R9" i="3"/>
  <c r="R10" i="3"/>
  <c r="R11" i="3"/>
  <c r="R12" i="3"/>
  <c r="R13" i="3"/>
  <c r="R14" i="3"/>
  <c r="R15" i="3"/>
  <c r="R16" i="3"/>
  <c r="R17" i="3"/>
  <c r="R18" i="3"/>
  <c r="R19" i="3"/>
  <c r="R20" i="3"/>
  <c r="R21" i="3"/>
  <c r="R22" i="3"/>
  <c r="R23" i="3"/>
  <c r="R24" i="3"/>
  <c r="R25" i="3"/>
  <c r="R26" i="3"/>
  <c r="R27" i="3"/>
  <c r="R28" i="3"/>
  <c r="R29" i="3"/>
  <c r="R30" i="3"/>
  <c r="R31" i="3"/>
  <c r="R32" i="3"/>
  <c r="R33" i="3"/>
  <c r="R34" i="3"/>
  <c r="R35" i="3"/>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6" i="4"/>
  <c r="Z84" i="9" l="1"/>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83"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49" i="9"/>
  <c r="Z6" i="9"/>
  <c r="Z7" i="9"/>
  <c r="Z8" i="9"/>
  <c r="Z9" i="9"/>
  <c r="Z10" i="9"/>
  <c r="Z11" i="9"/>
  <c r="Z12" i="9"/>
  <c r="Z13" i="9"/>
  <c r="Z14" i="9"/>
  <c r="Z15" i="9"/>
  <c r="Z16" i="9"/>
  <c r="Z17" i="9"/>
  <c r="Z18" i="9"/>
  <c r="Z19" i="9"/>
  <c r="Z20" i="9"/>
  <c r="Z21" i="9"/>
  <c r="Z22" i="9"/>
  <c r="Z23" i="9"/>
  <c r="Z24" i="9"/>
  <c r="Z25" i="9"/>
  <c r="Z26" i="9"/>
  <c r="Z27" i="9"/>
  <c r="Z28" i="9"/>
  <c r="Z29" i="9"/>
  <c r="Z30" i="9"/>
  <c r="Z31" i="9"/>
  <c r="Z32" i="9"/>
  <c r="Z33" i="9"/>
  <c r="Z34" i="9"/>
  <c r="Z5" i="9"/>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5" i="9"/>
  <c r="X6" i="9"/>
  <c r="X7" i="9"/>
  <c r="X8" i="9"/>
  <c r="X9" i="9"/>
  <c r="X10" i="9"/>
  <c r="X11" i="9"/>
  <c r="X12" i="9"/>
  <c r="X13" i="9"/>
  <c r="X14" i="9"/>
  <c r="X15" i="9"/>
  <c r="X16" i="9"/>
  <c r="X17" i="9"/>
  <c r="X18" i="9"/>
  <c r="X19" i="9"/>
  <c r="X20" i="9"/>
  <c r="X21" i="9"/>
  <c r="X22" i="9"/>
  <c r="X23" i="9"/>
  <c r="X24" i="9"/>
  <c r="X25" i="9"/>
  <c r="X26" i="9"/>
  <c r="X27" i="9"/>
  <c r="X28" i="9"/>
  <c r="X29" i="9"/>
  <c r="X30" i="9"/>
  <c r="X31" i="9"/>
  <c r="X32" i="9"/>
  <c r="X33" i="9"/>
  <c r="X34" i="9"/>
  <c r="X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5" i="9"/>
  <c r="J35" i="1" l="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41" i="1" l="1"/>
  <c r="J42" i="1"/>
  <c r="J43" i="1"/>
  <c r="J44" i="1"/>
  <c r="P15" i="8"/>
  <c r="P17" i="8"/>
  <c r="P19" i="8"/>
  <c r="M31" i="8"/>
  <c r="P31" i="8"/>
  <c r="S31" i="8"/>
  <c r="J43" i="8"/>
  <c r="M43" i="8"/>
  <c r="P43" i="8"/>
  <c r="S43" i="8"/>
  <c r="C7" i="8" l="1"/>
  <c r="P46" i="8"/>
  <c r="P34" i="8"/>
  <c r="G24" i="1" l="1"/>
  <c r="G7" i="1" l="1"/>
  <c r="G30" i="1" l="1"/>
  <c r="AD19" i="3" l="1"/>
  <c r="AC19" i="3"/>
  <c r="AA19" i="3"/>
  <c r="Z19" i="3"/>
  <c r="X19" i="3"/>
  <c r="W19" i="3"/>
  <c r="U19" i="3"/>
  <c r="T19" i="3"/>
  <c r="Q19" i="3"/>
  <c r="P19" i="3"/>
  <c r="N19" i="3"/>
  <c r="M19" i="3"/>
  <c r="K19" i="3"/>
  <c r="J19" i="3"/>
  <c r="H19" i="3"/>
  <c r="G19" i="3"/>
  <c r="AD12" i="3"/>
  <c r="AC12" i="3"/>
  <c r="AA12" i="3"/>
  <c r="Z12" i="3"/>
  <c r="X12" i="3"/>
  <c r="W12" i="3"/>
  <c r="U12" i="3"/>
  <c r="T12" i="3"/>
  <c r="Q12" i="3"/>
  <c r="P12" i="3"/>
  <c r="N12" i="3"/>
  <c r="M12" i="3"/>
  <c r="K12" i="3"/>
  <c r="J12" i="3"/>
  <c r="H12" i="3"/>
  <c r="G12" i="3"/>
  <c r="AD11" i="3"/>
  <c r="AC11" i="3"/>
  <c r="AA11" i="3"/>
  <c r="Z11" i="3"/>
  <c r="X11" i="3"/>
  <c r="W11" i="3"/>
  <c r="U11" i="3"/>
  <c r="T11" i="3"/>
  <c r="Q11" i="3"/>
  <c r="P11" i="3"/>
  <c r="N11" i="3"/>
  <c r="M11" i="3"/>
  <c r="K11" i="3"/>
  <c r="J11" i="3"/>
  <c r="H11" i="3"/>
  <c r="G11" i="3"/>
  <c r="AD21" i="3"/>
  <c r="AC21" i="3"/>
  <c r="AA21" i="3"/>
  <c r="Z21" i="3"/>
  <c r="X21" i="3"/>
  <c r="W21" i="3"/>
  <c r="U21" i="3"/>
  <c r="T21" i="3"/>
  <c r="Q21" i="3"/>
  <c r="P21" i="3"/>
  <c r="N21" i="3"/>
  <c r="M21" i="3"/>
  <c r="K21" i="3"/>
  <c r="J21" i="3"/>
  <c r="H21" i="3"/>
  <c r="G21" i="3"/>
  <c r="AD23" i="3"/>
  <c r="AC23" i="3"/>
  <c r="AA23" i="3"/>
  <c r="Z23" i="3"/>
  <c r="X23" i="3"/>
  <c r="W23" i="3"/>
  <c r="U23" i="3"/>
  <c r="T23" i="3"/>
  <c r="Q23" i="3"/>
  <c r="P23" i="3"/>
  <c r="N23" i="3"/>
  <c r="M23" i="3"/>
  <c r="K23" i="3"/>
  <c r="J23" i="3"/>
  <c r="H23" i="3"/>
  <c r="G23" i="3"/>
  <c r="AD16" i="3"/>
  <c r="AC16" i="3"/>
  <c r="AA16" i="3"/>
  <c r="Z16" i="3"/>
  <c r="X16" i="3"/>
  <c r="W16" i="3"/>
  <c r="U16" i="3"/>
  <c r="T16" i="3"/>
  <c r="Q16" i="3"/>
  <c r="P16" i="3"/>
  <c r="N16" i="3"/>
  <c r="M16" i="3"/>
  <c r="K16" i="3"/>
  <c r="J16" i="3"/>
  <c r="H16" i="3"/>
  <c r="G16" i="3"/>
  <c r="AD13" i="3"/>
  <c r="AC13" i="3"/>
  <c r="AA13" i="3"/>
  <c r="Z13" i="3"/>
  <c r="X13" i="3"/>
  <c r="W13" i="3"/>
  <c r="U13" i="3"/>
  <c r="T13" i="3"/>
  <c r="Q13" i="3"/>
  <c r="P13" i="3"/>
  <c r="N13" i="3"/>
  <c r="M13" i="3"/>
  <c r="K13" i="3"/>
  <c r="J13" i="3"/>
  <c r="H13" i="3"/>
  <c r="G13" i="3"/>
  <c r="AD17" i="3"/>
  <c r="AC17" i="3"/>
  <c r="AA17" i="3"/>
  <c r="Z17" i="3"/>
  <c r="X17" i="3"/>
  <c r="W17" i="3"/>
  <c r="U17" i="3"/>
  <c r="T17" i="3"/>
  <c r="Q17" i="3"/>
  <c r="P17" i="3"/>
  <c r="N17" i="3"/>
  <c r="M17" i="3"/>
  <c r="K17" i="3"/>
  <c r="J17" i="3"/>
  <c r="H17" i="3"/>
  <c r="G17" i="3"/>
  <c r="AD29" i="3"/>
  <c r="AC29" i="3"/>
  <c r="AA29" i="3"/>
  <c r="Z29" i="3"/>
  <c r="X29" i="3"/>
  <c r="W29" i="3"/>
  <c r="U29" i="3"/>
  <c r="T29" i="3"/>
  <c r="Q29" i="3"/>
  <c r="P29" i="3"/>
  <c r="N29" i="3"/>
  <c r="M29" i="3"/>
  <c r="K29" i="3"/>
  <c r="J29" i="3"/>
  <c r="H29" i="3"/>
  <c r="G29" i="3"/>
  <c r="AD27" i="3"/>
  <c r="AC27" i="3"/>
  <c r="AA27" i="3"/>
  <c r="Z27" i="3"/>
  <c r="X27" i="3"/>
  <c r="W27" i="3"/>
  <c r="U27" i="3"/>
  <c r="T27" i="3"/>
  <c r="Q27" i="3"/>
  <c r="P27" i="3"/>
  <c r="N27" i="3"/>
  <c r="M27" i="3"/>
  <c r="K27" i="3"/>
  <c r="J27" i="3"/>
  <c r="H27" i="3"/>
  <c r="G27" i="3"/>
  <c r="AD10" i="3"/>
  <c r="AC10" i="3"/>
  <c r="AA10" i="3"/>
  <c r="Z10" i="3"/>
  <c r="X10" i="3"/>
  <c r="W10" i="3"/>
  <c r="U10" i="3"/>
  <c r="T10" i="3"/>
  <c r="Q10" i="3"/>
  <c r="P10" i="3"/>
  <c r="N10" i="3"/>
  <c r="M10" i="3"/>
  <c r="K10" i="3"/>
  <c r="J10" i="3"/>
  <c r="H10" i="3"/>
  <c r="G10" i="3"/>
  <c r="AD26" i="3"/>
  <c r="AC26" i="3"/>
  <c r="AA26" i="3"/>
  <c r="Z26" i="3"/>
  <c r="X26" i="3"/>
  <c r="W26" i="3"/>
  <c r="U26" i="3"/>
  <c r="T26" i="3"/>
  <c r="Q26" i="3"/>
  <c r="P26" i="3"/>
  <c r="N26" i="3"/>
  <c r="M26" i="3"/>
  <c r="K26" i="3"/>
  <c r="J26" i="3"/>
  <c r="H26" i="3"/>
  <c r="G26" i="3"/>
  <c r="AD14" i="3"/>
  <c r="AC14" i="3"/>
  <c r="AA14" i="3"/>
  <c r="Z14" i="3"/>
  <c r="X14" i="3"/>
  <c r="W14" i="3"/>
  <c r="U14" i="3"/>
  <c r="T14" i="3"/>
  <c r="Q14" i="3"/>
  <c r="P14" i="3"/>
  <c r="N14" i="3"/>
  <c r="M14" i="3"/>
  <c r="K14" i="3"/>
  <c r="J14" i="3"/>
  <c r="H14" i="3"/>
  <c r="G14" i="3"/>
  <c r="AD25" i="3"/>
  <c r="AC25" i="3"/>
  <c r="AA25" i="3"/>
  <c r="Z25" i="3"/>
  <c r="X25" i="3"/>
  <c r="W25" i="3"/>
  <c r="U25" i="3"/>
  <c r="T25" i="3"/>
  <c r="Q25" i="3"/>
  <c r="P25" i="3"/>
  <c r="N25" i="3"/>
  <c r="M25" i="3"/>
  <c r="K25" i="3"/>
  <c r="J25" i="3"/>
  <c r="H25" i="3"/>
  <c r="G25" i="3"/>
  <c r="AD34" i="3"/>
  <c r="AC34" i="3"/>
  <c r="AA34" i="3"/>
  <c r="Z34" i="3"/>
  <c r="X34" i="3"/>
  <c r="W34" i="3"/>
  <c r="U34" i="3"/>
  <c r="T34" i="3"/>
  <c r="Q34" i="3"/>
  <c r="P34" i="3"/>
  <c r="N34" i="3"/>
  <c r="M34" i="3"/>
  <c r="K34" i="3"/>
  <c r="J34" i="3"/>
  <c r="H34" i="3"/>
  <c r="G34" i="3"/>
  <c r="AD9" i="3"/>
  <c r="AC9" i="3"/>
  <c r="AA9" i="3"/>
  <c r="Z9" i="3"/>
  <c r="X9" i="3"/>
  <c r="W9" i="3"/>
  <c r="U9" i="3"/>
  <c r="T9" i="3"/>
  <c r="Q9" i="3"/>
  <c r="P9" i="3"/>
  <c r="N9" i="3"/>
  <c r="M9" i="3"/>
  <c r="K9" i="3"/>
  <c r="J9" i="3"/>
  <c r="H9" i="3"/>
  <c r="G9" i="3"/>
  <c r="AD33" i="3"/>
  <c r="AC33" i="3"/>
  <c r="AA33" i="3"/>
  <c r="Z33" i="3"/>
  <c r="X33" i="3"/>
  <c r="W33" i="3"/>
  <c r="U33" i="3"/>
  <c r="T33" i="3"/>
  <c r="Q33" i="3"/>
  <c r="P33" i="3"/>
  <c r="N33" i="3"/>
  <c r="M33" i="3"/>
  <c r="K33" i="3"/>
  <c r="J33" i="3"/>
  <c r="H33" i="3"/>
  <c r="G33" i="3"/>
  <c r="AD28" i="3"/>
  <c r="AC28" i="3"/>
  <c r="AA28" i="3"/>
  <c r="Z28" i="3"/>
  <c r="X28" i="3"/>
  <c r="W28" i="3"/>
  <c r="U28" i="3"/>
  <c r="T28" i="3"/>
  <c r="Q28" i="3"/>
  <c r="P28" i="3"/>
  <c r="N28" i="3"/>
  <c r="M28" i="3"/>
  <c r="K28" i="3"/>
  <c r="J28" i="3"/>
  <c r="H28" i="3"/>
  <c r="G28" i="3"/>
  <c r="AD32" i="3"/>
  <c r="AC32" i="3"/>
  <c r="AA32" i="3"/>
  <c r="Z32" i="3"/>
  <c r="X32" i="3"/>
  <c r="W32" i="3"/>
  <c r="U32" i="3"/>
  <c r="T32" i="3"/>
  <c r="Q32" i="3"/>
  <c r="P32" i="3"/>
  <c r="N32" i="3"/>
  <c r="M32" i="3"/>
  <c r="K32" i="3"/>
  <c r="J32" i="3"/>
  <c r="H32" i="3"/>
  <c r="G32" i="3"/>
  <c r="AD30" i="3"/>
  <c r="AC30" i="3"/>
  <c r="AA30" i="3"/>
  <c r="Z30" i="3"/>
  <c r="X30" i="3"/>
  <c r="W30" i="3"/>
  <c r="U30" i="3"/>
  <c r="T30" i="3"/>
  <c r="Q30" i="3"/>
  <c r="P30" i="3"/>
  <c r="N30" i="3"/>
  <c r="M30" i="3"/>
  <c r="K30" i="3"/>
  <c r="J30" i="3"/>
  <c r="H30" i="3"/>
  <c r="G30" i="3"/>
  <c r="AD31" i="3"/>
  <c r="AC31" i="3"/>
  <c r="AA31" i="3"/>
  <c r="Z31" i="3"/>
  <c r="X31" i="3"/>
  <c r="W31" i="3"/>
  <c r="U31" i="3"/>
  <c r="T31" i="3"/>
  <c r="Q31" i="3"/>
  <c r="P31" i="3"/>
  <c r="N31" i="3"/>
  <c r="M31" i="3"/>
  <c r="K31" i="3"/>
  <c r="J31" i="3"/>
  <c r="H31" i="3"/>
  <c r="G31" i="3"/>
  <c r="AD35" i="3"/>
  <c r="AC35" i="3"/>
  <c r="AA35" i="3"/>
  <c r="Z35" i="3"/>
  <c r="X35" i="3"/>
  <c r="W35" i="3"/>
  <c r="U35" i="3"/>
  <c r="T35" i="3"/>
  <c r="Q35" i="3"/>
  <c r="P35" i="3"/>
  <c r="N35" i="3"/>
  <c r="M35" i="3"/>
  <c r="K35" i="3"/>
  <c r="J35" i="3"/>
  <c r="H35" i="3"/>
  <c r="G35" i="3"/>
  <c r="AD18" i="3"/>
  <c r="AC18" i="3"/>
  <c r="AA18" i="3"/>
  <c r="Z18" i="3"/>
  <c r="X18" i="3"/>
  <c r="W18" i="3"/>
  <c r="U18" i="3"/>
  <c r="T18" i="3"/>
  <c r="Q18" i="3"/>
  <c r="P18" i="3"/>
  <c r="N18" i="3"/>
  <c r="M18" i="3"/>
  <c r="K18" i="3"/>
  <c r="J18" i="3"/>
  <c r="H18" i="3"/>
  <c r="G18" i="3"/>
  <c r="AD20" i="3"/>
  <c r="AC20" i="3"/>
  <c r="AA20" i="3"/>
  <c r="Z20" i="3"/>
  <c r="X20" i="3"/>
  <c r="W20" i="3"/>
  <c r="U20" i="3"/>
  <c r="T20" i="3"/>
  <c r="Q20" i="3"/>
  <c r="P20" i="3"/>
  <c r="N20" i="3"/>
  <c r="M20" i="3"/>
  <c r="K20" i="3"/>
  <c r="J20" i="3"/>
  <c r="H20" i="3"/>
  <c r="G20" i="3"/>
  <c r="AD15" i="3"/>
  <c r="AC15" i="3"/>
  <c r="AA15" i="3"/>
  <c r="Z15" i="3"/>
  <c r="X15" i="3"/>
  <c r="W15" i="3"/>
  <c r="U15" i="3"/>
  <c r="T15" i="3"/>
  <c r="Q15" i="3"/>
  <c r="P15" i="3"/>
  <c r="N15" i="3"/>
  <c r="M15" i="3"/>
  <c r="K15" i="3"/>
  <c r="J15" i="3"/>
  <c r="H15" i="3"/>
  <c r="G15" i="3"/>
  <c r="AD24" i="3"/>
  <c r="AC24" i="3"/>
  <c r="AA24" i="3"/>
  <c r="Z24" i="3"/>
  <c r="X24" i="3"/>
  <c r="W24" i="3"/>
  <c r="U24" i="3"/>
  <c r="T24" i="3"/>
  <c r="Q24" i="3"/>
  <c r="P24" i="3"/>
  <c r="N24" i="3"/>
  <c r="M24" i="3"/>
  <c r="K24" i="3"/>
  <c r="J24" i="3"/>
  <c r="H24" i="3"/>
  <c r="G24" i="3"/>
  <c r="AD22" i="3"/>
  <c r="AC22" i="3"/>
  <c r="AA22" i="3"/>
  <c r="Z22" i="3"/>
  <c r="X22" i="3"/>
  <c r="W22" i="3"/>
  <c r="U22" i="3"/>
  <c r="T22" i="3"/>
  <c r="Q22" i="3"/>
  <c r="P22" i="3"/>
  <c r="N22" i="3"/>
  <c r="M22" i="3"/>
  <c r="K22" i="3"/>
  <c r="J22" i="3"/>
  <c r="H22" i="3"/>
  <c r="G22" i="3"/>
  <c r="AD8" i="3"/>
  <c r="AC8" i="3"/>
  <c r="AA8" i="3"/>
  <c r="Z8" i="3"/>
  <c r="X8" i="3"/>
  <c r="W8" i="3"/>
  <c r="U8" i="3"/>
  <c r="T8" i="3"/>
  <c r="Q8" i="3"/>
  <c r="P8" i="3"/>
  <c r="N8" i="3"/>
  <c r="M8" i="3"/>
  <c r="K8" i="3"/>
  <c r="J8" i="3"/>
  <c r="H8" i="3"/>
  <c r="G8" i="3"/>
  <c r="Q17" i="4"/>
  <c r="Q8" i="4"/>
  <c r="Q27" i="4"/>
  <c r="Q15" i="4"/>
  <c r="Q30" i="4"/>
  <c r="Q33" i="4"/>
  <c r="Q11" i="4"/>
  <c r="Q14" i="4"/>
  <c r="Q23" i="4"/>
  <c r="Q9" i="4"/>
  <c r="Q20" i="4"/>
  <c r="Q25" i="4"/>
  <c r="Q16" i="4"/>
  <c r="Q21" i="4"/>
  <c r="Q12" i="4"/>
  <c r="Q22" i="4"/>
  <c r="Q19" i="4"/>
  <c r="Q29" i="4"/>
  <c r="Q13" i="4"/>
  <c r="Q31" i="4"/>
  <c r="Q32" i="4"/>
  <c r="Q24" i="4"/>
  <c r="Q18" i="4"/>
  <c r="Q26" i="4"/>
  <c r="Q6" i="4"/>
  <c r="Q35" i="4"/>
  <c r="Q7" i="4"/>
  <c r="Q28" i="4"/>
  <c r="Q10" i="4"/>
  <c r="Q34" i="4"/>
  <c r="P17" i="4"/>
  <c r="P27" i="4"/>
  <c r="P15" i="4"/>
  <c r="P30" i="4"/>
  <c r="P33" i="4"/>
  <c r="P11" i="4"/>
  <c r="P14" i="4"/>
  <c r="P23" i="4"/>
  <c r="P9" i="4"/>
  <c r="P20" i="4"/>
  <c r="P25" i="4"/>
  <c r="P16" i="4"/>
  <c r="P21" i="4"/>
  <c r="P12" i="4"/>
  <c r="P22" i="4"/>
  <c r="P19" i="4"/>
  <c r="P29" i="4"/>
  <c r="P13" i="4"/>
  <c r="P31" i="4"/>
  <c r="P32" i="4"/>
  <c r="P24" i="4"/>
  <c r="P18" i="4"/>
  <c r="P26" i="4"/>
  <c r="P6" i="4"/>
  <c r="P35" i="4"/>
  <c r="P7" i="4"/>
  <c r="P28" i="4"/>
  <c r="P10" i="4"/>
  <c r="P34" i="4"/>
  <c r="P30" i="1"/>
  <c r="P7" i="1"/>
  <c r="P14" i="1"/>
  <c r="P25" i="1"/>
  <c r="P23" i="1"/>
  <c r="P20" i="1"/>
  <c r="P24" i="1"/>
  <c r="P15" i="1"/>
  <c r="P22" i="1"/>
  <c r="P12" i="1"/>
  <c r="P35" i="1"/>
  <c r="P13" i="1"/>
  <c r="P34" i="1"/>
  <c r="P27" i="1"/>
  <c r="P9" i="1"/>
  <c r="P29" i="1"/>
  <c r="P6" i="1"/>
  <c r="P11" i="1"/>
  <c r="P8" i="1"/>
  <c r="P17" i="1"/>
  <c r="P26" i="1"/>
  <c r="P21" i="1"/>
  <c r="P33" i="1"/>
  <c r="P28" i="1"/>
  <c r="P19" i="1"/>
  <c r="P18" i="1"/>
  <c r="P10" i="1"/>
  <c r="P31" i="1"/>
  <c r="P32" i="1"/>
  <c r="P16" i="1"/>
  <c r="N17" i="4"/>
  <c r="N8" i="4"/>
  <c r="N27" i="4"/>
  <c r="N15" i="4"/>
  <c r="N30" i="4"/>
  <c r="N33" i="4"/>
  <c r="N11" i="4"/>
  <c r="N14" i="4"/>
  <c r="N23" i="4"/>
  <c r="N9" i="4"/>
  <c r="N20" i="4"/>
  <c r="N25" i="4"/>
  <c r="N16" i="4"/>
  <c r="N21" i="4"/>
  <c r="N12" i="4"/>
  <c r="N22" i="4"/>
  <c r="N19" i="4"/>
  <c r="N29" i="4"/>
  <c r="N13" i="4"/>
  <c r="N31" i="4"/>
  <c r="N32" i="4"/>
  <c r="N24" i="4"/>
  <c r="N18" i="4"/>
  <c r="N26" i="4"/>
  <c r="N6" i="4"/>
  <c r="N35" i="4"/>
  <c r="N7" i="4"/>
  <c r="N28" i="4"/>
  <c r="N10" i="4"/>
  <c r="N34" i="4"/>
  <c r="M17" i="4"/>
  <c r="M8" i="4"/>
  <c r="M27" i="4"/>
  <c r="M15" i="4"/>
  <c r="M30" i="4"/>
  <c r="M33" i="4"/>
  <c r="M11" i="4"/>
  <c r="M14" i="4"/>
  <c r="M23" i="4"/>
  <c r="M9" i="4"/>
  <c r="M20" i="4"/>
  <c r="M25" i="4"/>
  <c r="M16" i="4"/>
  <c r="M21" i="4"/>
  <c r="M12" i="4"/>
  <c r="M22" i="4"/>
  <c r="M19" i="4"/>
  <c r="M29" i="4"/>
  <c r="M13" i="4"/>
  <c r="M31" i="4"/>
  <c r="M32" i="4"/>
  <c r="M24" i="4"/>
  <c r="M18" i="4"/>
  <c r="M26" i="4"/>
  <c r="M6" i="4"/>
  <c r="M35" i="4"/>
  <c r="M7" i="4"/>
  <c r="M28" i="4"/>
  <c r="M10" i="4"/>
  <c r="M34" i="4"/>
  <c r="M30" i="1"/>
  <c r="M7" i="1"/>
  <c r="M14" i="1"/>
  <c r="M25" i="1"/>
  <c r="M23" i="1"/>
  <c r="M20" i="1"/>
  <c r="M24" i="1"/>
  <c r="M15" i="1"/>
  <c r="M22" i="1"/>
  <c r="M12" i="1"/>
  <c r="M35" i="1"/>
  <c r="M13" i="1"/>
  <c r="M34" i="1"/>
  <c r="M27" i="1"/>
  <c r="M9" i="1"/>
  <c r="M29" i="1"/>
  <c r="M6" i="1"/>
  <c r="M11" i="1"/>
  <c r="M8" i="1"/>
  <c r="M17" i="1"/>
  <c r="M26" i="1"/>
  <c r="M21" i="1"/>
  <c r="M33" i="1"/>
  <c r="M28" i="1"/>
  <c r="M19" i="1"/>
  <c r="M18" i="1"/>
  <c r="M10" i="1"/>
  <c r="M31" i="1"/>
  <c r="M32" i="1"/>
  <c r="M16" i="1"/>
  <c r="K17" i="4"/>
  <c r="K8" i="4"/>
  <c r="K27" i="4"/>
  <c r="K15" i="4"/>
  <c r="K30" i="4"/>
  <c r="K33" i="4"/>
  <c r="K11" i="4"/>
  <c r="K14" i="4"/>
  <c r="K23" i="4"/>
  <c r="K9" i="4"/>
  <c r="K20" i="4"/>
  <c r="K25" i="4"/>
  <c r="K16" i="4"/>
  <c r="K21" i="4"/>
  <c r="K12" i="4"/>
  <c r="K22" i="4"/>
  <c r="K19" i="4"/>
  <c r="K29" i="4"/>
  <c r="K13" i="4"/>
  <c r="K31" i="4"/>
  <c r="K32" i="4"/>
  <c r="K24" i="4"/>
  <c r="K18" i="4"/>
  <c r="K26" i="4"/>
  <c r="K6" i="4"/>
  <c r="K35" i="4"/>
  <c r="K7" i="4"/>
  <c r="K28" i="4"/>
  <c r="K10" i="4"/>
  <c r="K34" i="4"/>
  <c r="J17" i="4"/>
  <c r="J8" i="4"/>
  <c r="J27" i="4"/>
  <c r="J15" i="4"/>
  <c r="J30" i="4"/>
  <c r="J33" i="4"/>
  <c r="J11" i="4"/>
  <c r="J14" i="4"/>
  <c r="J23" i="4"/>
  <c r="J9" i="4"/>
  <c r="J20" i="4"/>
  <c r="J25" i="4"/>
  <c r="J16" i="4"/>
  <c r="J21" i="4"/>
  <c r="J12" i="4"/>
  <c r="J22" i="4"/>
  <c r="J19" i="4"/>
  <c r="J29" i="4"/>
  <c r="J13" i="4"/>
  <c r="J31" i="4"/>
  <c r="J32" i="4"/>
  <c r="J24" i="4"/>
  <c r="J18" i="4"/>
  <c r="J26" i="4"/>
  <c r="J6" i="4"/>
  <c r="J35" i="4"/>
  <c r="J7" i="4"/>
  <c r="J28" i="4"/>
  <c r="J10" i="4"/>
  <c r="J34" i="4"/>
  <c r="H17" i="4"/>
  <c r="H8" i="4"/>
  <c r="H27" i="4"/>
  <c r="H15" i="4"/>
  <c r="H30" i="4"/>
  <c r="H33" i="4"/>
  <c r="H11" i="4"/>
  <c r="H14" i="4"/>
  <c r="H23" i="4"/>
  <c r="H9" i="4"/>
  <c r="H20" i="4"/>
  <c r="H25" i="4"/>
  <c r="H16" i="4"/>
  <c r="H21" i="4"/>
  <c r="H12" i="4"/>
  <c r="H22" i="4"/>
  <c r="H19" i="4"/>
  <c r="H29" i="4"/>
  <c r="H13" i="4"/>
  <c r="H31" i="4"/>
  <c r="H32" i="4"/>
  <c r="H24" i="4"/>
  <c r="H18" i="4"/>
  <c r="H26" i="4"/>
  <c r="H6" i="4"/>
  <c r="H35" i="4"/>
  <c r="H7" i="4"/>
  <c r="H28" i="4"/>
  <c r="H10" i="4"/>
  <c r="H34" i="4"/>
  <c r="G17" i="4"/>
  <c r="G8" i="4"/>
  <c r="G27" i="4"/>
  <c r="G15" i="4"/>
  <c r="G30" i="4"/>
  <c r="G33" i="4"/>
  <c r="G11" i="4"/>
  <c r="G14" i="4"/>
  <c r="G23" i="4"/>
  <c r="G9" i="4"/>
  <c r="G20" i="4"/>
  <c r="G25" i="4"/>
  <c r="G16" i="4"/>
  <c r="G21" i="4"/>
  <c r="G12" i="4"/>
  <c r="G22" i="4"/>
  <c r="G19" i="4"/>
  <c r="G29" i="4"/>
  <c r="G13" i="4"/>
  <c r="G31" i="4"/>
  <c r="G32" i="4"/>
  <c r="G24" i="4"/>
  <c r="G18" i="4"/>
  <c r="G26" i="4"/>
  <c r="G6" i="4"/>
  <c r="G35" i="4"/>
  <c r="G7" i="4"/>
  <c r="G28" i="4"/>
  <c r="G10" i="4"/>
  <c r="G34" i="4"/>
  <c r="G14" i="1"/>
  <c r="G25" i="1"/>
  <c r="G23" i="1"/>
  <c r="G20" i="1"/>
  <c r="G15" i="1"/>
  <c r="G22" i="1"/>
  <c r="G12" i="1"/>
  <c r="G35" i="1"/>
  <c r="G13" i="1"/>
  <c r="G34" i="1"/>
  <c r="G27" i="1"/>
  <c r="G9" i="1"/>
  <c r="G29" i="1"/>
  <c r="G11" i="1"/>
  <c r="G8" i="1"/>
  <c r="G17" i="1"/>
  <c r="G26" i="1"/>
  <c r="G21" i="1"/>
  <c r="G33" i="1"/>
  <c r="G28" i="1"/>
  <c r="G19" i="1"/>
  <c r="G18" i="1"/>
  <c r="G10" i="1"/>
  <c r="G31" i="1"/>
  <c r="G32" i="1"/>
  <c r="G16" i="1"/>
  <c r="AD10" i="4"/>
  <c r="AC10" i="4"/>
  <c r="AA10" i="4"/>
  <c r="Z10" i="4"/>
  <c r="X10" i="4"/>
  <c r="W10" i="4"/>
  <c r="U10" i="4"/>
  <c r="T10" i="4"/>
  <c r="AD28" i="4"/>
  <c r="AC28" i="4"/>
  <c r="AA28" i="4"/>
  <c r="Z28" i="4"/>
  <c r="X28" i="4"/>
  <c r="W28" i="4"/>
  <c r="U28" i="4"/>
  <c r="T28" i="4"/>
  <c r="AD7" i="4"/>
  <c r="AC7" i="4"/>
  <c r="AA7" i="4"/>
  <c r="Z7" i="4"/>
  <c r="X7" i="4"/>
  <c r="W7" i="4"/>
  <c r="U7" i="4"/>
  <c r="T7" i="4"/>
  <c r="AD35" i="4"/>
  <c r="AC35" i="4"/>
  <c r="AA35" i="4"/>
  <c r="Z35" i="4"/>
  <c r="X35" i="4"/>
  <c r="W35" i="4"/>
  <c r="U35" i="4"/>
  <c r="T35" i="4"/>
  <c r="AD6" i="4"/>
  <c r="AC6" i="4"/>
  <c r="AA6" i="4"/>
  <c r="Z6" i="4"/>
  <c r="X6" i="4"/>
  <c r="W6" i="4"/>
  <c r="U6" i="4"/>
  <c r="T6" i="4"/>
  <c r="AD26" i="4"/>
  <c r="AC26" i="4"/>
  <c r="AA26" i="4"/>
  <c r="Z26" i="4"/>
  <c r="X26" i="4"/>
  <c r="W26" i="4"/>
  <c r="U26" i="4"/>
  <c r="T26" i="4"/>
  <c r="AD18" i="4"/>
  <c r="AC18" i="4"/>
  <c r="AA18" i="4"/>
  <c r="Z18" i="4"/>
  <c r="X18" i="4"/>
  <c r="W18" i="4"/>
  <c r="U18" i="4"/>
  <c r="T18" i="4"/>
  <c r="AD24" i="4"/>
  <c r="AC24" i="4"/>
  <c r="AA24" i="4"/>
  <c r="Z24" i="4"/>
  <c r="X24" i="4"/>
  <c r="W24" i="4"/>
  <c r="U24" i="4"/>
  <c r="T24" i="4"/>
  <c r="AD32" i="4"/>
  <c r="AC32" i="4"/>
  <c r="AA32" i="4"/>
  <c r="Z32" i="4"/>
  <c r="X32" i="4"/>
  <c r="W32" i="4"/>
  <c r="U32" i="4"/>
  <c r="T32" i="4"/>
  <c r="AD31" i="4"/>
  <c r="AC31" i="4"/>
  <c r="AA31" i="4"/>
  <c r="Z31" i="4"/>
  <c r="X31" i="4"/>
  <c r="W31" i="4"/>
  <c r="U31" i="4"/>
  <c r="T31" i="4"/>
  <c r="AD13" i="4"/>
  <c r="AC13" i="4"/>
  <c r="AA13" i="4"/>
  <c r="Z13" i="4"/>
  <c r="X13" i="4"/>
  <c r="W13" i="4"/>
  <c r="U13" i="4"/>
  <c r="T13" i="4"/>
  <c r="AD29" i="4"/>
  <c r="AC29" i="4"/>
  <c r="AA29" i="4"/>
  <c r="Z29" i="4"/>
  <c r="X29" i="4"/>
  <c r="W29" i="4"/>
  <c r="U29" i="4"/>
  <c r="T29" i="4"/>
  <c r="AD19" i="4"/>
  <c r="AC19" i="4"/>
  <c r="AA19" i="4"/>
  <c r="Z19" i="4"/>
  <c r="X19" i="4"/>
  <c r="W19" i="4"/>
  <c r="U19" i="4"/>
  <c r="T19" i="4"/>
  <c r="AD22" i="4"/>
  <c r="AC22" i="4"/>
  <c r="AA22" i="4"/>
  <c r="Z22" i="4"/>
  <c r="X22" i="4"/>
  <c r="W22" i="4"/>
  <c r="U22" i="4"/>
  <c r="T22" i="4"/>
  <c r="AD12" i="4"/>
  <c r="AC12" i="4"/>
  <c r="AA12" i="4"/>
  <c r="Z12" i="4"/>
  <c r="X12" i="4"/>
  <c r="W12" i="4"/>
  <c r="U12" i="4"/>
  <c r="T12" i="4"/>
  <c r="AD21" i="4"/>
  <c r="AC21" i="4"/>
  <c r="AA21" i="4"/>
  <c r="Z21" i="4"/>
  <c r="X21" i="4"/>
  <c r="W21" i="4"/>
  <c r="U21" i="4"/>
  <c r="T21" i="4"/>
  <c r="AD16" i="4"/>
  <c r="AC16" i="4"/>
  <c r="AA16" i="4"/>
  <c r="Z16" i="4"/>
  <c r="X16" i="4"/>
  <c r="W16" i="4"/>
  <c r="U16" i="4"/>
  <c r="T16" i="4"/>
  <c r="AD25" i="4"/>
  <c r="AC25" i="4"/>
  <c r="AA25" i="4"/>
  <c r="Z25" i="4"/>
  <c r="X25" i="4"/>
  <c r="W25" i="4"/>
  <c r="U25" i="4"/>
  <c r="T25" i="4"/>
  <c r="AD20" i="4"/>
  <c r="AC20" i="4"/>
  <c r="AA20" i="4"/>
  <c r="Z20" i="4"/>
  <c r="X20" i="4"/>
  <c r="W20" i="4"/>
  <c r="U20" i="4"/>
  <c r="T20" i="4"/>
  <c r="AD9" i="4"/>
  <c r="AC9" i="4"/>
  <c r="AA9" i="4"/>
  <c r="Z9" i="4"/>
  <c r="X9" i="4"/>
  <c r="W9" i="4"/>
  <c r="U9" i="4"/>
  <c r="T9" i="4"/>
  <c r="AD23" i="4"/>
  <c r="AC23" i="4"/>
  <c r="AA23" i="4"/>
  <c r="Z23" i="4"/>
  <c r="X23" i="4"/>
  <c r="W23" i="4"/>
  <c r="U23" i="4"/>
  <c r="T23" i="4"/>
  <c r="AD14" i="4"/>
  <c r="AC14" i="4"/>
  <c r="AA14" i="4"/>
  <c r="Z14" i="4"/>
  <c r="X14" i="4"/>
  <c r="W14" i="4"/>
  <c r="U14" i="4"/>
  <c r="T14" i="4"/>
  <c r="AD11" i="4"/>
  <c r="AC11" i="4"/>
  <c r="AA11" i="4"/>
  <c r="Z11" i="4"/>
  <c r="X11" i="4"/>
  <c r="W11" i="4"/>
  <c r="U11" i="4"/>
  <c r="T11" i="4"/>
  <c r="AD33" i="4"/>
  <c r="AC33" i="4"/>
  <c r="AA33" i="4"/>
  <c r="Z33" i="4"/>
  <c r="X33" i="4"/>
  <c r="W33" i="4"/>
  <c r="U33" i="4"/>
  <c r="T33" i="4"/>
  <c r="AD30" i="4"/>
  <c r="AC30" i="4"/>
  <c r="AA30" i="4"/>
  <c r="Z30" i="4"/>
  <c r="X30" i="4"/>
  <c r="W30" i="4"/>
  <c r="U30" i="4"/>
  <c r="T30" i="4"/>
  <c r="AD15" i="4"/>
  <c r="AC15" i="4"/>
  <c r="AA15" i="4"/>
  <c r="Z15" i="4"/>
  <c r="X15" i="4"/>
  <c r="W15" i="4"/>
  <c r="U15" i="4"/>
  <c r="T15" i="4"/>
  <c r="AD27" i="4"/>
  <c r="AC27" i="4"/>
  <c r="AA27" i="4"/>
  <c r="Z27" i="4"/>
  <c r="X27" i="4"/>
  <c r="W27" i="4"/>
  <c r="U27" i="4"/>
  <c r="T27" i="4"/>
  <c r="AD8" i="4"/>
  <c r="AC8" i="4"/>
  <c r="AA8" i="4"/>
  <c r="Z8" i="4"/>
  <c r="X8" i="4"/>
  <c r="W8" i="4"/>
  <c r="U8" i="4"/>
  <c r="T8" i="4"/>
  <c r="AD17" i="4"/>
  <c r="AC17" i="4"/>
  <c r="AA17" i="4"/>
  <c r="Z17" i="4"/>
  <c r="X17" i="4"/>
  <c r="W17" i="4"/>
  <c r="U17" i="4"/>
  <c r="T17" i="4"/>
  <c r="AD34" i="4"/>
  <c r="AC34" i="4"/>
  <c r="AA34" i="4"/>
  <c r="Z34" i="4"/>
  <c r="X34" i="4"/>
  <c r="W34" i="4"/>
  <c r="U34" i="4"/>
  <c r="T34" i="4"/>
  <c r="T16" i="1"/>
  <c r="U16" i="1"/>
  <c r="W16" i="1"/>
  <c r="X16" i="1"/>
  <c r="Z16" i="1"/>
  <c r="AA16" i="1"/>
  <c r="AC16" i="1"/>
  <c r="AD16" i="1"/>
  <c r="T30" i="1"/>
  <c r="U30" i="1"/>
  <c r="W30" i="1"/>
  <c r="X30" i="1"/>
  <c r="Z30" i="1"/>
  <c r="AA30" i="1"/>
  <c r="AC30" i="1"/>
  <c r="AD30" i="1"/>
  <c r="T7" i="1"/>
  <c r="U7" i="1"/>
  <c r="W7" i="1"/>
  <c r="X7" i="1"/>
  <c r="Z7" i="1"/>
  <c r="AA7" i="1"/>
  <c r="AC7" i="1"/>
  <c r="AD7" i="1"/>
  <c r="T14" i="1"/>
  <c r="U14" i="1"/>
  <c r="W14" i="1"/>
  <c r="X14" i="1"/>
  <c r="Z14" i="1"/>
  <c r="AA14" i="1"/>
  <c r="AC14" i="1"/>
  <c r="AD14" i="1"/>
  <c r="T25" i="1"/>
  <c r="U25" i="1"/>
  <c r="W25" i="1"/>
  <c r="X25" i="1"/>
  <c r="Z25" i="1"/>
  <c r="AA25" i="1"/>
  <c r="AC25" i="1"/>
  <c r="AD25" i="1"/>
  <c r="T23" i="1"/>
  <c r="U23" i="1"/>
  <c r="W23" i="1"/>
  <c r="X23" i="1"/>
  <c r="Z23" i="1"/>
  <c r="AA23" i="1"/>
  <c r="AC23" i="1"/>
  <c r="AD23" i="1"/>
  <c r="T20" i="1"/>
  <c r="U20" i="1"/>
  <c r="W20" i="1"/>
  <c r="X20" i="1"/>
  <c r="Z20" i="1"/>
  <c r="AA20" i="1"/>
  <c r="AC20" i="1"/>
  <c r="AD20" i="1"/>
  <c r="T24" i="1"/>
  <c r="U24" i="1"/>
  <c r="W24" i="1"/>
  <c r="X24" i="1"/>
  <c r="Z24" i="1"/>
  <c r="AA24" i="1"/>
  <c r="AC24" i="1"/>
  <c r="AD24" i="1"/>
  <c r="T15" i="1"/>
  <c r="U15" i="1"/>
  <c r="W15" i="1"/>
  <c r="X15" i="1"/>
  <c r="Z15" i="1"/>
  <c r="AA15" i="1"/>
  <c r="AC15" i="1"/>
  <c r="AD15" i="1"/>
  <c r="T22" i="1"/>
  <c r="U22" i="1"/>
  <c r="W22" i="1"/>
  <c r="X22" i="1"/>
  <c r="Z22" i="1"/>
  <c r="AA22" i="1"/>
  <c r="AC22" i="1"/>
  <c r="AD22" i="1"/>
  <c r="T12" i="1"/>
  <c r="U12" i="1"/>
  <c r="W12" i="1"/>
  <c r="X12" i="1"/>
  <c r="Z12" i="1"/>
  <c r="AA12" i="1"/>
  <c r="AC12" i="1"/>
  <c r="AD12" i="1"/>
  <c r="T35" i="1"/>
  <c r="U35" i="1"/>
  <c r="W35" i="1"/>
  <c r="X35" i="1"/>
  <c r="Z35" i="1"/>
  <c r="AA35" i="1"/>
  <c r="AC35" i="1"/>
  <c r="AD35" i="1"/>
  <c r="T13" i="1"/>
  <c r="U13" i="1"/>
  <c r="W13" i="1"/>
  <c r="X13" i="1"/>
  <c r="Z13" i="1"/>
  <c r="AA13" i="1"/>
  <c r="AC13" i="1"/>
  <c r="AD13" i="1"/>
  <c r="T34" i="1"/>
  <c r="U34" i="1"/>
  <c r="W34" i="1"/>
  <c r="X34" i="1"/>
  <c r="Z34" i="1"/>
  <c r="AA34" i="1"/>
  <c r="AC34" i="1"/>
  <c r="AD34" i="1"/>
  <c r="T27" i="1"/>
  <c r="U27" i="1"/>
  <c r="W27" i="1"/>
  <c r="X27" i="1"/>
  <c r="Z27" i="1"/>
  <c r="AA27" i="1"/>
  <c r="AC27" i="1"/>
  <c r="AD27" i="1"/>
  <c r="T9" i="1"/>
  <c r="U9" i="1"/>
  <c r="W9" i="1"/>
  <c r="X9" i="1"/>
  <c r="Z9" i="1"/>
  <c r="AA9" i="1"/>
  <c r="AC9" i="1"/>
  <c r="AD9" i="1"/>
  <c r="T29" i="1"/>
  <c r="U29" i="1"/>
  <c r="W29" i="1"/>
  <c r="X29" i="1"/>
  <c r="Z29" i="1"/>
  <c r="AA29" i="1"/>
  <c r="AC29" i="1"/>
  <c r="AD29" i="1"/>
  <c r="T6" i="1"/>
  <c r="U6" i="1"/>
  <c r="W6" i="1"/>
  <c r="X6" i="1"/>
  <c r="Z6" i="1"/>
  <c r="AA6" i="1"/>
  <c r="AC6" i="1"/>
  <c r="AD6" i="1"/>
  <c r="T11" i="1"/>
  <c r="U11" i="1"/>
  <c r="W11" i="1"/>
  <c r="X11" i="1"/>
  <c r="Z11" i="1"/>
  <c r="AA11" i="1"/>
  <c r="AC11" i="1"/>
  <c r="AD11" i="1"/>
  <c r="T8" i="1"/>
  <c r="U8" i="1"/>
  <c r="W8" i="1"/>
  <c r="X8" i="1"/>
  <c r="Z8" i="1"/>
  <c r="AA8" i="1"/>
  <c r="AC8" i="1"/>
  <c r="AD8" i="1"/>
  <c r="T17" i="1"/>
  <c r="U17" i="1"/>
  <c r="W17" i="1"/>
  <c r="X17" i="1"/>
  <c r="Z17" i="1"/>
  <c r="AA17" i="1"/>
  <c r="AC17" i="1"/>
  <c r="AD17" i="1"/>
  <c r="T26" i="1"/>
  <c r="U26" i="1"/>
  <c r="W26" i="1"/>
  <c r="X26" i="1"/>
  <c r="Z26" i="1"/>
  <c r="AA26" i="1"/>
  <c r="AC26" i="1"/>
  <c r="AD26" i="1"/>
  <c r="T21" i="1"/>
  <c r="U21" i="1"/>
  <c r="W21" i="1"/>
  <c r="X21" i="1"/>
  <c r="Z21" i="1"/>
  <c r="AA21" i="1"/>
  <c r="AC21" i="1"/>
  <c r="AD21" i="1"/>
  <c r="T33" i="1"/>
  <c r="U33" i="1"/>
  <c r="W33" i="1"/>
  <c r="X33" i="1"/>
  <c r="Z33" i="1"/>
  <c r="AA33" i="1"/>
  <c r="AC33" i="1"/>
  <c r="AD33" i="1"/>
  <c r="T28" i="1"/>
  <c r="U28" i="1"/>
  <c r="W28" i="1"/>
  <c r="X28" i="1"/>
  <c r="Z28" i="1"/>
  <c r="AA28" i="1"/>
  <c r="AC28" i="1"/>
  <c r="AD28" i="1"/>
  <c r="T19" i="1"/>
  <c r="U19" i="1"/>
  <c r="W19" i="1"/>
  <c r="X19" i="1"/>
  <c r="Z19" i="1"/>
  <c r="AA19" i="1"/>
  <c r="AC19" i="1"/>
  <c r="AD19" i="1"/>
  <c r="T18" i="1"/>
  <c r="U18" i="1"/>
  <c r="W18" i="1"/>
  <c r="X18" i="1"/>
  <c r="Z18" i="1"/>
  <c r="AA18" i="1"/>
  <c r="AC18" i="1"/>
  <c r="AD18" i="1"/>
  <c r="T10" i="1"/>
  <c r="U10" i="1"/>
  <c r="W10" i="1"/>
  <c r="X10" i="1"/>
  <c r="Z10" i="1"/>
  <c r="AA10" i="1"/>
  <c r="AC10" i="1"/>
  <c r="AD10" i="1"/>
  <c r="T31" i="1"/>
  <c r="U31" i="1"/>
  <c r="W31" i="1"/>
  <c r="X31" i="1"/>
  <c r="Z31" i="1"/>
  <c r="AA31" i="1"/>
  <c r="AC31" i="1"/>
  <c r="AD31" i="1"/>
  <c r="T32" i="1"/>
  <c r="U32" i="1"/>
  <c r="W32" i="1"/>
  <c r="X32" i="1"/>
  <c r="Z32" i="1"/>
  <c r="AA32" i="1"/>
  <c r="AC32" i="1"/>
  <c r="AD32" i="1"/>
  <c r="H16" i="1"/>
  <c r="K16" i="1"/>
  <c r="N16" i="1"/>
  <c r="Q16" i="1"/>
  <c r="R16" i="1"/>
  <c r="H30" i="1"/>
  <c r="K30" i="1"/>
  <c r="N30" i="1"/>
  <c r="Q30" i="1"/>
  <c r="R30" i="1"/>
  <c r="H7" i="1"/>
  <c r="K7" i="1"/>
  <c r="N7" i="1"/>
  <c r="Q7" i="1"/>
  <c r="R7" i="1"/>
  <c r="H14" i="1"/>
  <c r="K14" i="1"/>
  <c r="N14" i="1"/>
  <c r="Q14" i="1"/>
  <c r="R14" i="1"/>
  <c r="H25" i="1"/>
  <c r="K25" i="1"/>
  <c r="N25" i="1"/>
  <c r="Q25" i="1"/>
  <c r="R25" i="1"/>
  <c r="H23" i="1"/>
  <c r="K23" i="1"/>
  <c r="N23" i="1"/>
  <c r="Q23" i="1"/>
  <c r="R23" i="1"/>
  <c r="H20" i="1"/>
  <c r="K20" i="1"/>
  <c r="N20" i="1"/>
  <c r="Q20" i="1"/>
  <c r="R20" i="1"/>
  <c r="H24" i="1"/>
  <c r="K24" i="1"/>
  <c r="N24" i="1"/>
  <c r="Q24" i="1"/>
  <c r="R24" i="1"/>
  <c r="H15" i="1"/>
  <c r="K15" i="1"/>
  <c r="N15" i="1"/>
  <c r="Q15" i="1"/>
  <c r="R15" i="1"/>
  <c r="H22" i="1"/>
  <c r="K22" i="1"/>
  <c r="N22" i="1"/>
  <c r="Q22" i="1"/>
  <c r="R22" i="1"/>
  <c r="H12" i="1"/>
  <c r="K12" i="1"/>
  <c r="N12" i="1"/>
  <c r="Q12" i="1"/>
  <c r="R12" i="1"/>
  <c r="H35" i="1"/>
  <c r="K35" i="1"/>
  <c r="N35" i="1"/>
  <c r="Q35" i="1"/>
  <c r="R35" i="1"/>
  <c r="H13" i="1"/>
  <c r="K13" i="1"/>
  <c r="N13" i="1"/>
  <c r="Q13" i="1"/>
  <c r="R13" i="1"/>
  <c r="H34" i="1"/>
  <c r="K34" i="1"/>
  <c r="N34" i="1"/>
  <c r="Q34" i="1"/>
  <c r="R34" i="1"/>
  <c r="H27" i="1"/>
  <c r="K27" i="1"/>
  <c r="N27" i="1"/>
  <c r="Q27" i="1"/>
  <c r="R27" i="1"/>
  <c r="H9" i="1"/>
  <c r="K9" i="1"/>
  <c r="N9" i="1"/>
  <c r="Q9" i="1"/>
  <c r="R9" i="1"/>
  <c r="H29" i="1"/>
  <c r="K29" i="1"/>
  <c r="N29" i="1"/>
  <c r="Q29" i="1"/>
  <c r="R29" i="1"/>
  <c r="H6" i="1"/>
  <c r="K6" i="1"/>
  <c r="N6" i="1"/>
  <c r="Q6" i="1"/>
  <c r="R6" i="1"/>
  <c r="H11" i="1"/>
  <c r="K11" i="1"/>
  <c r="N11" i="1"/>
  <c r="Q11" i="1"/>
  <c r="R11" i="1"/>
  <c r="H8" i="1"/>
  <c r="K8" i="1"/>
  <c r="N8" i="1"/>
  <c r="Q8" i="1"/>
  <c r="R8" i="1"/>
  <c r="H17" i="1"/>
  <c r="K17" i="1"/>
  <c r="N17" i="1"/>
  <c r="Q17" i="1"/>
  <c r="R17" i="1"/>
  <c r="H26" i="1"/>
  <c r="K26" i="1"/>
  <c r="N26" i="1"/>
  <c r="Q26" i="1"/>
  <c r="R26" i="1"/>
  <c r="H21" i="1"/>
  <c r="K21" i="1"/>
  <c r="N21" i="1"/>
  <c r="Q21" i="1"/>
  <c r="R21" i="1"/>
  <c r="H33" i="1"/>
  <c r="K33" i="1"/>
  <c r="N33" i="1"/>
  <c r="Q33" i="1"/>
  <c r="R33" i="1"/>
  <c r="H28" i="1"/>
  <c r="K28" i="1"/>
  <c r="N28" i="1"/>
  <c r="Q28" i="1"/>
  <c r="R28" i="1"/>
  <c r="H19" i="1"/>
  <c r="K19" i="1"/>
  <c r="N19" i="1"/>
  <c r="Q19" i="1"/>
  <c r="R19" i="1"/>
  <c r="H18" i="1"/>
  <c r="K18" i="1"/>
  <c r="N18" i="1"/>
  <c r="Q18" i="1"/>
  <c r="R18" i="1"/>
  <c r="H10" i="1"/>
  <c r="K10" i="1"/>
  <c r="N10" i="1"/>
  <c r="Q10" i="1"/>
  <c r="R10" i="1"/>
  <c r="R43" i="8" l="1"/>
  <c r="O43" i="8"/>
  <c r="N31" i="8"/>
  <c r="O41" i="1"/>
  <c r="O42" i="1"/>
  <c r="O43" i="1"/>
  <c r="O44" i="1"/>
  <c r="M41" i="1"/>
  <c r="M42" i="1"/>
  <c r="M43" i="1"/>
  <c r="M44" i="1"/>
  <c r="I41" i="1"/>
  <c r="I42" i="1"/>
  <c r="I43" i="1"/>
  <c r="I44" i="1"/>
  <c r="L43" i="1"/>
  <c r="L41" i="1"/>
  <c r="L44" i="1"/>
  <c r="L42" i="1"/>
  <c r="P41" i="1"/>
  <c r="P44" i="1"/>
  <c r="P42" i="1"/>
  <c r="P43" i="1"/>
  <c r="N41" i="1"/>
  <c r="N42" i="1"/>
  <c r="N43" i="1"/>
  <c r="N44" i="1"/>
  <c r="K41" i="1"/>
  <c r="K42" i="1"/>
  <c r="K43" i="1"/>
  <c r="K44" i="1"/>
  <c r="T31" i="8"/>
  <c r="Q31" i="8"/>
  <c r="N43" i="8"/>
  <c r="T43" i="8"/>
  <c r="K43" i="8"/>
  <c r="K31" i="8"/>
  <c r="Q43" i="8"/>
  <c r="L31" i="8"/>
  <c r="O31" i="8"/>
  <c r="U31" i="8"/>
  <c r="U43" i="8"/>
  <c r="R31" i="8"/>
  <c r="L43" i="8"/>
  <c r="K44" i="4"/>
  <c r="K43" i="4"/>
  <c r="K42" i="4"/>
  <c r="N44" i="4"/>
  <c r="N43" i="4"/>
  <c r="N42" i="4"/>
  <c r="M43" i="4"/>
  <c r="M42" i="4"/>
  <c r="M44" i="4"/>
  <c r="O44" i="4"/>
  <c r="O43" i="4"/>
  <c r="O42" i="4"/>
  <c r="J44" i="4"/>
  <c r="J43" i="4"/>
  <c r="J42" i="4"/>
  <c r="L44" i="4"/>
  <c r="L43" i="4"/>
  <c r="L42" i="4"/>
  <c r="P44" i="4"/>
  <c r="P43" i="4"/>
  <c r="P42" i="4"/>
  <c r="I42" i="4"/>
  <c r="I44" i="4"/>
  <c r="I43" i="4"/>
  <c r="L44" i="3"/>
  <c r="L43" i="3"/>
  <c r="L42" i="3"/>
  <c r="L41" i="3"/>
  <c r="N44" i="3"/>
  <c r="N43" i="3"/>
  <c r="N42" i="3"/>
  <c r="N41" i="3"/>
  <c r="P44" i="3"/>
  <c r="P43" i="3"/>
  <c r="P42" i="3"/>
  <c r="P41" i="3"/>
  <c r="J44" i="3"/>
  <c r="J43" i="3"/>
  <c r="J42" i="3"/>
  <c r="J41" i="3"/>
  <c r="I42" i="3"/>
  <c r="I44" i="3"/>
  <c r="I43" i="3"/>
  <c r="I41" i="3"/>
  <c r="K44" i="3"/>
  <c r="K43" i="3"/>
  <c r="K42" i="3"/>
  <c r="K41" i="3"/>
  <c r="S42" i="3"/>
  <c r="S41" i="3"/>
  <c r="S40" i="3"/>
  <c r="M41" i="3"/>
  <c r="M44" i="3"/>
  <c r="M43" i="3"/>
  <c r="M42" i="3"/>
  <c r="O44" i="3"/>
  <c r="O43" i="3"/>
  <c r="O42" i="3"/>
  <c r="O41" i="3"/>
  <c r="O41" i="4"/>
  <c r="I41" i="4"/>
  <c r="M41" i="4"/>
  <c r="J41" i="4"/>
  <c r="L41" i="4"/>
  <c r="S42" i="4"/>
  <c r="S41" i="4"/>
  <c r="S40" i="4"/>
  <c r="K41" i="4"/>
  <c r="N41" i="4"/>
  <c r="P41" i="4"/>
  <c r="R31" i="1"/>
  <c r="R32" i="1"/>
  <c r="Q31" i="1"/>
  <c r="Q32" i="1"/>
  <c r="N31" i="1"/>
  <c r="N32" i="1"/>
  <c r="K31" i="1"/>
  <c r="K32" i="1"/>
  <c r="H31" i="1"/>
  <c r="H32" i="1"/>
  <c r="S42" i="1" l="1"/>
  <c r="S40" i="1"/>
  <c r="S41" i="1"/>
</calcChain>
</file>

<file path=xl/sharedStrings.xml><?xml version="1.0" encoding="utf-8"?>
<sst xmlns="http://schemas.openxmlformats.org/spreadsheetml/2006/main" count="1737" uniqueCount="326">
  <si>
    <t>Level 1</t>
  </si>
  <si>
    <t>First Name</t>
  </si>
  <si>
    <t>Last Name</t>
  </si>
  <si>
    <t>D.O.B</t>
  </si>
  <si>
    <t>Gender</t>
  </si>
  <si>
    <t>Modular Exams</t>
  </si>
  <si>
    <t>First Exam</t>
  </si>
  <si>
    <t>Mark</t>
  </si>
  <si>
    <t>Grade</t>
  </si>
  <si>
    <t>Percentage</t>
  </si>
  <si>
    <t>Second Exam</t>
  </si>
  <si>
    <t>Fourth Exam</t>
  </si>
  <si>
    <t>Mock Exams</t>
  </si>
  <si>
    <t>Julissa</t>
  </si>
  <si>
    <t>Celesta</t>
  </si>
  <si>
    <t>Tobie</t>
  </si>
  <si>
    <t>Keren</t>
  </si>
  <si>
    <t>Elvia</t>
  </si>
  <si>
    <t>Faustino</t>
  </si>
  <si>
    <t>Jc</t>
  </si>
  <si>
    <t>Ernesto</t>
  </si>
  <si>
    <t>Kaitlyn</t>
  </si>
  <si>
    <t>Fredericka</t>
  </si>
  <si>
    <t>Laura</t>
  </si>
  <si>
    <t>Anette</t>
  </si>
  <si>
    <t>Laticia</t>
  </si>
  <si>
    <t>Arlyne</t>
  </si>
  <si>
    <t>Aldrete</t>
  </si>
  <si>
    <t>Minchew</t>
  </si>
  <si>
    <t>Todaro</t>
  </si>
  <si>
    <t>Steinhoff</t>
  </si>
  <si>
    <t>Winder</t>
  </si>
  <si>
    <t>Dupre</t>
  </si>
  <si>
    <t>Meals</t>
  </si>
  <si>
    <t>Simonson</t>
  </si>
  <si>
    <t>Petsche</t>
  </si>
  <si>
    <t>Ambler</t>
  </si>
  <si>
    <t>Mcmurry</t>
  </si>
  <si>
    <t>Heberling</t>
  </si>
  <si>
    <t>Willems</t>
  </si>
  <si>
    <t>Camillo</t>
  </si>
  <si>
    <t>Doug</t>
  </si>
  <si>
    <t>Shawnna</t>
  </si>
  <si>
    <t>Claudie</t>
  </si>
  <si>
    <t>Waylon</t>
  </si>
  <si>
    <t>Leon</t>
  </si>
  <si>
    <t>Shirly</t>
  </si>
  <si>
    <t>Juliette</t>
  </si>
  <si>
    <t>Eli</t>
  </si>
  <si>
    <t>Izola</t>
  </si>
  <si>
    <t>Beau</t>
  </si>
  <si>
    <t>Doretha</t>
  </si>
  <si>
    <t>Yohe</t>
  </si>
  <si>
    <t>Blomgren</t>
  </si>
  <si>
    <t>Hendrixson</t>
  </si>
  <si>
    <t>Penner</t>
  </si>
  <si>
    <t>Slaven</t>
  </si>
  <si>
    <t>Holliman</t>
  </si>
  <si>
    <t>Peabody</t>
  </si>
  <si>
    <t>Lehmkuhl</t>
  </si>
  <si>
    <t>Winship</t>
  </si>
  <si>
    <t>Burlingame</t>
  </si>
  <si>
    <t>Dorgan</t>
  </si>
  <si>
    <t>F</t>
  </si>
  <si>
    <t>M</t>
  </si>
  <si>
    <t>Joi</t>
  </si>
  <si>
    <t>Jonnie</t>
  </si>
  <si>
    <t>Mee</t>
  </si>
  <si>
    <t>Britney</t>
  </si>
  <si>
    <t>Belia</t>
  </si>
  <si>
    <t>Parkes</t>
  </si>
  <si>
    <t>Dardar</t>
  </si>
  <si>
    <t>Eiler</t>
  </si>
  <si>
    <t>Viviani</t>
  </si>
  <si>
    <t>Vu</t>
  </si>
  <si>
    <t>29/05/2002</t>
  </si>
  <si>
    <t>25/07/2001</t>
  </si>
  <si>
    <t>18/02/2001</t>
  </si>
  <si>
    <t>17/02/2001</t>
  </si>
  <si>
    <t>Average Mark</t>
  </si>
  <si>
    <t>No Grade</t>
  </si>
  <si>
    <t>Pass</t>
  </si>
  <si>
    <t>Merit</t>
  </si>
  <si>
    <t>Distinction</t>
  </si>
  <si>
    <t>1st</t>
  </si>
  <si>
    <t>2nd</t>
  </si>
  <si>
    <t>4th</t>
  </si>
  <si>
    <t>Total Mark (Out of 200)</t>
  </si>
  <si>
    <t>Students Number</t>
  </si>
  <si>
    <t>Lowest Mark</t>
  </si>
  <si>
    <t>Starr</t>
  </si>
  <si>
    <t>Gerri</t>
  </si>
  <si>
    <t>Andera</t>
  </si>
  <si>
    <t>Meagan</t>
  </si>
  <si>
    <t>Drucilla</t>
  </si>
  <si>
    <t>Mittie</t>
  </si>
  <si>
    <t>Shirley</t>
  </si>
  <si>
    <t>Brent</t>
  </si>
  <si>
    <t>Debbra</t>
  </si>
  <si>
    <t>Laveta</t>
  </si>
  <si>
    <t>Babara</t>
  </si>
  <si>
    <t>Jospeh</t>
  </si>
  <si>
    <t>Lilia</t>
  </si>
  <si>
    <t>Georgina</t>
  </si>
  <si>
    <t>Keneth</t>
  </si>
  <si>
    <t>Cecil</t>
  </si>
  <si>
    <t>Kum</t>
  </si>
  <si>
    <t>Joan</t>
  </si>
  <si>
    <t>Merideth</t>
  </si>
  <si>
    <t>Ciara</t>
  </si>
  <si>
    <t>Norene</t>
  </si>
  <si>
    <t>Norine</t>
  </si>
  <si>
    <t>Leif</t>
  </si>
  <si>
    <t>Glen</t>
  </si>
  <si>
    <t>Marth</t>
  </si>
  <si>
    <t>Aja</t>
  </si>
  <si>
    <t>Velia</t>
  </si>
  <si>
    <t>Alton</t>
  </si>
  <si>
    <t>Meaghan</t>
  </si>
  <si>
    <t>Boyce</t>
  </si>
  <si>
    <t>Coldwell</t>
  </si>
  <si>
    <t>Domenech</t>
  </si>
  <si>
    <t>Schor</t>
  </si>
  <si>
    <t>Hoagland</t>
  </si>
  <si>
    <t>Montoro</t>
  </si>
  <si>
    <t>Stansberry</t>
  </si>
  <si>
    <t>Pillsbury</t>
  </si>
  <si>
    <t>Olszewski</t>
  </si>
  <si>
    <t>Delp</t>
  </si>
  <si>
    <t>Viands</t>
  </si>
  <si>
    <t>Janas</t>
  </si>
  <si>
    <t>Rota</t>
  </si>
  <si>
    <t>Saladino</t>
  </si>
  <si>
    <t>Mccarthy</t>
  </si>
  <si>
    <t>Findlay</t>
  </si>
  <si>
    <t>Herr</t>
  </si>
  <si>
    <t>Burdette</t>
  </si>
  <si>
    <t>Kram</t>
  </si>
  <si>
    <t>Marinelli</t>
  </si>
  <si>
    <t>Ormiston</t>
  </si>
  <si>
    <t>Elie</t>
  </si>
  <si>
    <t>Rohde</t>
  </si>
  <si>
    <t>Applegate</t>
  </si>
  <si>
    <t>Flannery</t>
  </si>
  <si>
    <t>Rhone</t>
  </si>
  <si>
    <t>Candela</t>
  </si>
  <si>
    <t>Olesen</t>
  </si>
  <si>
    <t>Luff</t>
  </si>
  <si>
    <t>Owen</t>
  </si>
  <si>
    <t>Leach</t>
  </si>
  <si>
    <t>Barabara</t>
  </si>
  <si>
    <t>Kenton</t>
  </si>
  <si>
    <t>Leoma</t>
  </si>
  <si>
    <t>Dante</t>
  </si>
  <si>
    <t>Aurea</t>
  </si>
  <si>
    <t>Ivory</t>
  </si>
  <si>
    <t>Fumiko</t>
  </si>
  <si>
    <t>Vikki</t>
  </si>
  <si>
    <t>Roselia</t>
  </si>
  <si>
    <t>Annabel</t>
  </si>
  <si>
    <t>Rogelio</t>
  </si>
  <si>
    <t>Sheila</t>
  </si>
  <si>
    <t>Oliver</t>
  </si>
  <si>
    <t>Susan</t>
  </si>
  <si>
    <t>Carie</t>
  </si>
  <si>
    <t>Vernita</t>
  </si>
  <si>
    <t>Marget</t>
  </si>
  <si>
    <t>Daine</t>
  </si>
  <si>
    <t>Mica</t>
  </si>
  <si>
    <t>Catherin</t>
  </si>
  <si>
    <t>Winders</t>
  </si>
  <si>
    <t>Fripp</t>
  </si>
  <si>
    <t>Bullen</t>
  </si>
  <si>
    <t>Menjivar</t>
  </si>
  <si>
    <t>Bormann</t>
  </si>
  <si>
    <t>Vanhoy</t>
  </si>
  <si>
    <t>Spell</t>
  </si>
  <si>
    <t>Renzi</t>
  </si>
  <si>
    <t>Ullrich</t>
  </si>
  <si>
    <t>Shutter</t>
  </si>
  <si>
    <t>Jin</t>
  </si>
  <si>
    <t>Patrick</t>
  </si>
  <si>
    <t>Buckles</t>
  </si>
  <si>
    <t>Waldow</t>
  </si>
  <si>
    <t>Mellon</t>
  </si>
  <si>
    <t>Stapler</t>
  </si>
  <si>
    <t>Allmond</t>
  </si>
  <si>
    <t>Milne</t>
  </si>
  <si>
    <t>Mell</t>
  </si>
  <si>
    <t>Alaniz</t>
  </si>
  <si>
    <t>Neta</t>
  </si>
  <si>
    <t>Porsha</t>
  </si>
  <si>
    <t>Flavia</t>
  </si>
  <si>
    <t>Clarisa</t>
  </si>
  <si>
    <t>Erlene</t>
  </si>
  <si>
    <t>Lavera</t>
  </si>
  <si>
    <t>Julio</t>
  </si>
  <si>
    <t>Chanel</t>
  </si>
  <si>
    <t>Clare</t>
  </si>
  <si>
    <t>Gilda</t>
  </si>
  <si>
    <t>Warkentin</t>
  </si>
  <si>
    <t>Alberti</t>
  </si>
  <si>
    <t>Deschamp</t>
  </si>
  <si>
    <t>Felch</t>
  </si>
  <si>
    <t>Wheeling</t>
  </si>
  <si>
    <t>Talkington</t>
  </si>
  <si>
    <t>Geesey</t>
  </si>
  <si>
    <t>Poulter</t>
  </si>
  <si>
    <t>Fredrickson</t>
  </si>
  <si>
    <t>Maring</t>
  </si>
  <si>
    <t>ID Number</t>
  </si>
  <si>
    <t>27/11/2002</t>
  </si>
  <si>
    <t>31/10/2002</t>
  </si>
  <si>
    <t>18/05/2000</t>
  </si>
  <si>
    <t>18/08/2001</t>
  </si>
  <si>
    <t>19/03/2000</t>
  </si>
  <si>
    <t>15/07/2002</t>
  </si>
  <si>
    <t>17/07/2002</t>
  </si>
  <si>
    <t>31/01/2000</t>
  </si>
  <si>
    <t>21/11/2000</t>
  </si>
  <si>
    <t>17/08/2001</t>
  </si>
  <si>
    <t>17/04/2001</t>
  </si>
  <si>
    <t>16/06/2001</t>
  </si>
  <si>
    <t>28/11/2002</t>
  </si>
  <si>
    <t>24/06/2002</t>
  </si>
  <si>
    <t>20/04/2001</t>
  </si>
  <si>
    <t>26/02/2001</t>
  </si>
  <si>
    <t>21/12/2000</t>
  </si>
  <si>
    <t>30/07/2000</t>
  </si>
  <si>
    <t>29/05/2001</t>
  </si>
  <si>
    <t>22/10/2002</t>
  </si>
  <si>
    <t>23/12/2002</t>
  </si>
  <si>
    <t>22/09/2000</t>
  </si>
  <si>
    <t>15/09/2001</t>
  </si>
  <si>
    <t>29/10/2002</t>
  </si>
  <si>
    <t>16/11/2002</t>
  </si>
  <si>
    <t>19/12/2000</t>
  </si>
  <si>
    <t>17/06/2002</t>
  </si>
  <si>
    <t>13/11/2000</t>
  </si>
  <si>
    <t>28/06/2002</t>
  </si>
  <si>
    <t>18/02/2002</t>
  </si>
  <si>
    <t>19/06/2001</t>
  </si>
  <si>
    <t>29/09/2001</t>
  </si>
  <si>
    <t>26/04/2001</t>
  </si>
  <si>
    <t>25/03/2001</t>
  </si>
  <si>
    <t>17/09/2000</t>
  </si>
  <si>
    <t>15/08/2001</t>
  </si>
  <si>
    <t>13/07/2001</t>
  </si>
  <si>
    <t>27/01/2001</t>
  </si>
  <si>
    <t>14/08/2001</t>
  </si>
  <si>
    <t>16/02/2002</t>
  </si>
  <si>
    <t>26/01/2002</t>
  </si>
  <si>
    <t>24/10/2001</t>
  </si>
  <si>
    <t>19/01/2001</t>
  </si>
  <si>
    <t>25/10/2002</t>
  </si>
  <si>
    <t>22/03/2002</t>
  </si>
  <si>
    <t>16/08/2002</t>
  </si>
  <si>
    <t>25/09/2000</t>
  </si>
  <si>
    <t>31/03/2001</t>
  </si>
  <si>
    <t>25/01/2001</t>
  </si>
  <si>
    <t>22/09/2001</t>
  </si>
  <si>
    <t>22/10/2001</t>
  </si>
  <si>
    <t>21/07/2000</t>
  </si>
  <si>
    <t>19/09/2002</t>
  </si>
  <si>
    <t>28/12/2002</t>
  </si>
  <si>
    <t>20/07/2001</t>
  </si>
  <si>
    <t>18/08/2002</t>
  </si>
  <si>
    <t>→ General ←</t>
  </si>
  <si>
    <t>→ Results ←</t>
  </si>
  <si>
    <t>Third Exam</t>
  </si>
  <si>
    <t>Cyber Security (Level 1)</t>
  </si>
  <si>
    <t>Cyber Security (Level 2)</t>
  </si>
  <si>
    <t>Cyber Security (Level 3)</t>
  </si>
  <si>
    <t>Spreadsheet System</t>
  </si>
  <si>
    <t>Student Name</t>
  </si>
  <si>
    <t>1st Modular Exam (Mark)</t>
  </si>
  <si>
    <t>2nd Modular Exam (Mark)</t>
  </si>
  <si>
    <t>4th Modular Exam (Mark)</t>
  </si>
  <si>
    <t>Total Mrak</t>
  </si>
  <si>
    <t>Grand Total</t>
  </si>
  <si>
    <t>1st Modular (Mark)</t>
  </si>
  <si>
    <t>1st Modular (Grade)</t>
  </si>
  <si>
    <t>2nd Exam (Mark)</t>
  </si>
  <si>
    <t>2nd Modular (Grade)</t>
  </si>
  <si>
    <t>4th Modular (Mark)</t>
  </si>
  <si>
    <t>4th Modular (Grade)</t>
  </si>
  <si>
    <t>Max Mark</t>
  </si>
  <si>
    <t>Min Mark</t>
  </si>
  <si>
    <t>1st Mock (Mark)2</t>
  </si>
  <si>
    <t>1st Mock (Grade)3</t>
  </si>
  <si>
    <t>2nd Mock (Mark)4</t>
  </si>
  <si>
    <t>2nd Mock (Grade)5</t>
  </si>
  <si>
    <t>4th Mock (Mark)8</t>
  </si>
  <si>
    <t>4th Mock (Grade)9</t>
  </si>
  <si>
    <t>Max Mark10</t>
  </si>
  <si>
    <t>Min Mark11</t>
  </si>
  <si>
    <t>Total Mrak12</t>
  </si>
  <si>
    <t>1st Mock Exam (Mark)</t>
  </si>
  <si>
    <t>2nd Mock Exam (Mark)</t>
  </si>
  <si>
    <t>4th Mock Exam (Mark)</t>
  </si>
  <si>
    <t>Sort by Grade</t>
  </si>
  <si>
    <t>level2</t>
  </si>
  <si>
    <t>Highest Mark (Modular)</t>
  </si>
  <si>
    <t>Lowest Mark (Modular)</t>
  </si>
  <si>
    <t>Total Mrak (Modular)</t>
  </si>
  <si>
    <t>Highest Mark (Mock)</t>
  </si>
  <si>
    <t>Lowest Mark (Mock)</t>
  </si>
  <si>
    <t>Total Mark  (Mock)</t>
  </si>
  <si>
    <t>Lowest mark (Modular)</t>
  </si>
  <si>
    <t>Lowest mark (Mock)</t>
  </si>
  <si>
    <t>Total Mrak (Mock)</t>
  </si>
  <si>
    <t>Level 3</t>
  </si>
  <si>
    <t>Total Mark (Modular)</t>
  </si>
  <si>
    <t>Lowest Mark (Mokck)</t>
  </si>
  <si>
    <t>Highest Mark</t>
  </si>
  <si>
    <t>3rd</t>
  </si>
  <si>
    <t>3rd Modular (Grade)</t>
  </si>
  <si>
    <t>3rd Modular (Mark)</t>
  </si>
  <si>
    <t>3rd Mock (Mark)6</t>
  </si>
  <si>
    <t>3rd Mock (Grade)7</t>
  </si>
  <si>
    <t>3rd Modular Exam (Mark)</t>
  </si>
  <si>
    <t>3rd Mock Exam (Mark)</t>
  </si>
  <si>
    <t>Students Grades</t>
  </si>
  <si>
    <t>Studen search</t>
  </si>
  <si>
    <t>Level 2</t>
  </si>
  <si>
    <t>Overall Mark (Out of 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</si>
</sst>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8"/>
      <name val="Calibri"/>
      <family val="2"/>
      <scheme val="minor"/>
    </font>
    <font>
      <sz val="11"/>
      <color theme="1"/>
      <name val="Calibri"/>
      <family val="2"/>
      <scheme val="minor"/>
    </font>
    <font>
      <sz val="11"/>
      <color rgb="FF000000"/>
      <name val="Calibri"/>
      <family val="2"/>
      <scheme val="minor"/>
    </font>
    <font>
      <b/>
      <sz val="12"/>
      <color theme="1"/>
      <name val="Calibri"/>
      <family val="2"/>
      <scheme val="minor"/>
    </font>
    <font>
      <b/>
      <sz val="18"/>
      <color theme="0"/>
      <name val="Calibri"/>
      <family val="2"/>
      <scheme val="minor"/>
    </font>
    <font>
      <b/>
      <sz val="16"/>
      <color theme="0"/>
      <name val="Calibri"/>
      <family val="2"/>
      <scheme val="minor"/>
    </font>
    <font>
      <b/>
      <sz val="18"/>
      <color theme="1"/>
      <name val="Calibri"/>
      <family val="2"/>
      <scheme val="minor"/>
    </font>
    <font>
      <sz val="12"/>
      <color theme="1"/>
      <name val="Calibri"/>
      <family val="2"/>
      <scheme val="minor"/>
    </font>
    <font>
      <sz val="11"/>
      <name val="Calibri"/>
      <family val="2"/>
      <scheme val="minor"/>
    </font>
    <font>
      <sz val="14"/>
      <name val="Calibri"/>
      <family val="2"/>
      <scheme val="minor"/>
    </font>
    <font>
      <sz val="16"/>
      <name val="Calibri"/>
      <family val="2"/>
      <scheme val="minor"/>
    </font>
    <font>
      <sz val="12"/>
      <name val="Calibri"/>
      <family val="2"/>
      <scheme val="minor"/>
    </font>
    <font>
      <sz val="24"/>
      <color theme="1"/>
      <name val="Calibri"/>
      <family val="2"/>
      <scheme val="minor"/>
    </font>
    <font>
      <b/>
      <sz val="24"/>
      <color theme="0"/>
      <name val="Calibri"/>
      <family val="2"/>
      <scheme val="minor"/>
    </font>
    <font>
      <b/>
      <sz val="18"/>
      <name val="Calibri"/>
      <family val="2"/>
      <scheme val="minor"/>
    </font>
    <font>
      <b/>
      <sz val="20"/>
      <name val="Calibri"/>
      <family val="2"/>
      <scheme val="minor"/>
    </font>
    <font>
      <b/>
      <sz val="22"/>
      <color theme="1"/>
      <name val="Calibri"/>
      <family val="2"/>
      <scheme val="minor"/>
    </font>
    <font>
      <b/>
      <sz val="24"/>
      <color theme="1"/>
      <name val="Calibri"/>
      <family val="2"/>
      <scheme val="minor"/>
    </font>
    <font>
      <b/>
      <sz val="11"/>
      <color theme="0"/>
      <name val="Calibri"/>
      <family val="2"/>
      <scheme val="minor"/>
    </font>
    <font>
      <sz val="11"/>
      <color theme="0"/>
      <name val="Calibri"/>
      <family val="2"/>
      <scheme val="minor"/>
    </font>
    <font>
      <b/>
      <sz val="20"/>
      <color theme="0"/>
      <name val="Calibri"/>
      <family val="2"/>
      <scheme val="minor"/>
    </font>
    <font>
      <sz val="20"/>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rgb="FFFFFF00"/>
        <bgColor indexed="64"/>
      </patternFill>
    </fill>
    <fill>
      <patternFill patternType="solid">
        <fgColor rgb="FFCCFFFF"/>
        <bgColor indexed="64"/>
      </patternFill>
    </fill>
    <fill>
      <patternFill patternType="solid">
        <fgColor rgb="FFFF0000"/>
        <bgColor indexed="64"/>
      </patternFill>
    </fill>
    <fill>
      <patternFill patternType="solid">
        <fgColor rgb="FF99FF33"/>
        <bgColor indexed="64"/>
      </patternFill>
    </fill>
    <fill>
      <patternFill patternType="solid">
        <fgColor rgb="FFFFC000"/>
        <bgColor indexed="64"/>
      </patternFill>
    </fill>
    <fill>
      <patternFill patternType="solid">
        <fgColor rgb="FFCCFFCC"/>
        <bgColor indexed="64"/>
      </patternFill>
    </fill>
    <fill>
      <patternFill patternType="solid">
        <fgColor rgb="FF00B05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C99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rgb="FFFF3300"/>
      </left>
      <right/>
      <top style="medium">
        <color rgb="FFFF3300"/>
      </top>
      <bottom/>
      <diagonal/>
    </border>
    <border>
      <left/>
      <right/>
      <top style="medium">
        <color rgb="FFFF3300"/>
      </top>
      <bottom/>
      <diagonal/>
    </border>
    <border>
      <left/>
      <right style="medium">
        <color rgb="FFFF3300"/>
      </right>
      <top style="medium">
        <color rgb="FFFF3300"/>
      </top>
      <bottom/>
      <diagonal/>
    </border>
    <border>
      <left style="medium">
        <color rgb="FFFF3300"/>
      </left>
      <right/>
      <top/>
      <bottom/>
      <diagonal/>
    </border>
    <border>
      <left/>
      <right style="medium">
        <color rgb="FFFF3300"/>
      </right>
      <top/>
      <bottom/>
      <diagonal/>
    </border>
    <border>
      <left style="medium">
        <color rgb="FFFF3300"/>
      </left>
      <right/>
      <top/>
      <bottom style="medium">
        <color rgb="FFFF3300"/>
      </bottom>
      <diagonal/>
    </border>
    <border>
      <left/>
      <right/>
      <top/>
      <bottom style="medium">
        <color rgb="FFFF3300"/>
      </bottom>
      <diagonal/>
    </border>
    <border>
      <left/>
      <right style="medium">
        <color rgb="FFFF3300"/>
      </right>
      <top/>
      <bottom style="medium">
        <color rgb="FFFF3300"/>
      </bottom>
      <diagonal/>
    </border>
  </borders>
  <cellStyleXfs count="4">
    <xf numFmtId="0" fontId="0" fillId="0" borderId="0"/>
    <xf numFmtId="9" fontId="2" fillId="0" borderId="0" applyFont="0" applyFill="0" applyBorder="0" applyAlignment="0" applyProtection="0"/>
    <xf numFmtId="0" fontId="2" fillId="0" borderId="1" applyFont="0">
      <alignment horizontal="center" vertical="center"/>
    </xf>
    <xf numFmtId="0" fontId="3" fillId="0" borderId="1" applyFont="0" applyFill="0">
      <alignment horizontal="center" vertical="center"/>
    </xf>
  </cellStyleXfs>
  <cellXfs count="157">
    <xf numFmtId="0" fontId="0" fillId="0" borderId="0" xfId="0"/>
    <xf numFmtId="9" fontId="0" fillId="0" borderId="1" xfId="1" applyFont="1" applyBorder="1" applyAlignment="1">
      <alignment horizontal="center" vertical="center"/>
    </xf>
    <xf numFmtId="0" fontId="0" fillId="0" borderId="0" xfId="0" applyFont="1" applyBorder="1" applyAlignment="1">
      <alignment horizontal="center" vertical="center"/>
    </xf>
    <xf numFmtId="9" fontId="0" fillId="4" borderId="1" xfId="1" applyFont="1" applyFill="1" applyBorder="1" applyAlignment="1">
      <alignment horizontal="center" vertical="center"/>
    </xf>
    <xf numFmtId="9" fontId="0" fillId="5" borderId="1" xfId="1" applyFont="1" applyFill="1" applyBorder="1" applyAlignment="1">
      <alignment horizontal="center" vertical="center"/>
    </xf>
    <xf numFmtId="0" fontId="0" fillId="0" borderId="0" xfId="0" applyFill="1"/>
    <xf numFmtId="14" fontId="0" fillId="0" borderId="1" xfId="0" applyNumberFormat="1" applyBorder="1" applyAlignment="1">
      <alignment horizontal="center" vertical="center"/>
    </xf>
    <xf numFmtId="14" fontId="0" fillId="4" borderId="1" xfId="0" applyNumberFormat="1" applyFill="1" applyBorder="1" applyAlignment="1">
      <alignment horizontal="center" vertical="center"/>
    </xf>
    <xf numFmtId="0" fontId="8" fillId="0" borderId="0" xfId="0" applyFont="1"/>
    <xf numFmtId="14" fontId="0" fillId="0" borderId="1" xfId="0" applyNumberFormat="1" applyFont="1" applyBorder="1" applyAlignment="1">
      <alignment horizontal="center" vertical="center"/>
    </xf>
    <xf numFmtId="14" fontId="0" fillId="4" borderId="1" xfId="0" applyNumberFormat="1" applyFont="1" applyFill="1" applyBorder="1" applyAlignment="1">
      <alignment horizontal="center" vertical="center"/>
    </xf>
    <xf numFmtId="14" fontId="0" fillId="0" borderId="0" xfId="0" applyNumberFormat="1" applyFont="1" applyBorder="1" applyAlignment="1">
      <alignment horizontal="center" vertical="center"/>
    </xf>
    <xf numFmtId="14" fontId="0" fillId="4" borderId="0" xfId="0" applyNumberFormat="1" applyFont="1" applyFill="1" applyBorder="1" applyAlignment="1">
      <alignment horizontal="center" vertical="center"/>
    </xf>
    <xf numFmtId="0" fontId="9" fillId="6" borderId="0" xfId="0" applyFont="1" applyFill="1" applyBorder="1" applyAlignment="1"/>
    <xf numFmtId="0" fontId="0" fillId="6" borderId="0" xfId="0" applyFill="1" applyBorder="1"/>
    <xf numFmtId="0" fontId="7" fillId="0" borderId="0" xfId="0" applyFont="1"/>
    <xf numFmtId="0" fontId="0" fillId="0" borderId="0" xfId="0" applyFill="1" applyAlignment="1"/>
    <xf numFmtId="0" fontId="0" fillId="0" borderId="1" xfId="0" applyBorder="1" applyAlignment="1">
      <alignment horizontal="center" vertical="center"/>
    </xf>
    <xf numFmtId="0" fontId="0" fillId="6" borderId="0" xfId="0" applyFill="1"/>
    <xf numFmtId="0" fontId="0" fillId="3" borderId="6" xfId="0" applyFill="1" applyBorder="1" applyAlignment="1">
      <alignment vertical="center"/>
    </xf>
    <xf numFmtId="0" fontId="0" fillId="3" borderId="7" xfId="0" applyFill="1" applyBorder="1" applyAlignment="1">
      <alignment vertical="center"/>
    </xf>
    <xf numFmtId="0" fontId="17" fillId="0" borderId="0" xfId="0" applyFont="1" applyFill="1" applyAlignment="1">
      <alignment vertical="center"/>
    </xf>
    <xf numFmtId="0" fontId="0" fillId="12" borderId="0" xfId="0" applyFill="1"/>
    <xf numFmtId="0" fontId="0" fillId="16" borderId="0" xfId="0" applyFill="1"/>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center" vertical="center" wrapText="1"/>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2" xfId="0" applyBorder="1" applyAlignment="1">
      <alignment horizontal="center" vertical="center"/>
    </xf>
    <xf numFmtId="0" fontId="0" fillId="0" borderId="12" xfId="0" applyBorder="1" applyAlignment="1">
      <alignment horizontal="center" vertical="center"/>
    </xf>
    <xf numFmtId="0" fontId="0" fillId="0" borderId="0" xfId="0" applyFill="1" applyAlignment="1">
      <alignment vertical="center"/>
    </xf>
    <xf numFmtId="0" fontId="4" fillId="12" borderId="0" xfId="0" applyFont="1" applyFill="1"/>
    <xf numFmtId="0" fontId="0" fillId="4" borderId="1" xfId="0" applyFont="1" applyFill="1" applyBorder="1" applyAlignment="1" applyProtection="1">
      <alignment horizontal="center" vertical="center"/>
    </xf>
    <xf numFmtId="0" fontId="0" fillId="0" borderId="1" xfId="0" applyFont="1" applyBorder="1" applyAlignment="1" applyProtection="1">
      <alignment horizontal="center" vertical="center"/>
    </xf>
    <xf numFmtId="0" fontId="9" fillId="6" borderId="18" xfId="0" applyFont="1" applyFill="1" applyBorder="1" applyAlignment="1"/>
    <xf numFmtId="0" fontId="0" fillId="6" borderId="19" xfId="0" applyFill="1" applyBorder="1"/>
    <xf numFmtId="0" fontId="0" fillId="6" borderId="18" xfId="0" applyFill="1" applyBorder="1"/>
    <xf numFmtId="0" fontId="0" fillId="6" borderId="20" xfId="0" applyFill="1" applyBorder="1"/>
    <xf numFmtId="0" fontId="0" fillId="6" borderId="21" xfId="0" applyFill="1" applyBorder="1"/>
    <xf numFmtId="0" fontId="0" fillId="6" borderId="22" xfId="0" applyFill="1" applyBorder="1"/>
    <xf numFmtId="0" fontId="9" fillId="0" borderId="0" xfId="0" applyFont="1" applyFill="1" applyAlignment="1"/>
    <xf numFmtId="0" fontId="0" fillId="12" borderId="0" xfId="0" applyFill="1" applyAlignment="1"/>
    <xf numFmtId="0" fontId="0" fillId="6" borderId="0" xfId="0" applyFill="1" applyAlignment="1" applyProtection="1"/>
    <xf numFmtId="49" fontId="10" fillId="14" borderId="1" xfId="0" applyNumberFormat="1" applyFont="1" applyFill="1" applyBorder="1" applyAlignment="1">
      <alignment horizontal="center" vertical="center"/>
    </xf>
    <xf numFmtId="49" fontId="4" fillId="3" borderId="1" xfId="0" applyNumberFormat="1" applyFont="1" applyFill="1" applyBorder="1" applyAlignment="1">
      <alignment horizontal="center" vertical="center"/>
    </xf>
    <xf numFmtId="49" fontId="0" fillId="4" borderId="1" xfId="0" applyNumberFormat="1" applyFont="1" applyFill="1" applyBorder="1" applyAlignment="1" applyProtection="1">
      <alignment horizontal="center" vertical="center"/>
    </xf>
    <xf numFmtId="49" fontId="0" fillId="4" borderId="1" xfId="0" applyNumberFormat="1" applyFont="1" applyFill="1" applyBorder="1" applyAlignment="1">
      <alignment horizontal="center" vertical="center"/>
    </xf>
    <xf numFmtId="49" fontId="0" fillId="0" borderId="1" xfId="0" applyNumberFormat="1" applyFont="1" applyBorder="1" applyAlignment="1">
      <alignment horizontal="center" vertical="center"/>
    </xf>
    <xf numFmtId="49" fontId="0" fillId="0" borderId="1" xfId="0" applyNumberFormat="1" applyFont="1" applyBorder="1" applyAlignment="1" applyProtection="1">
      <alignment horizontal="center" vertical="center"/>
    </xf>
    <xf numFmtId="1" fontId="0" fillId="4" borderId="1" xfId="0" applyNumberFormat="1" applyFont="1" applyFill="1" applyBorder="1" applyAlignment="1">
      <alignment horizontal="center" vertical="center"/>
    </xf>
    <xf numFmtId="1" fontId="3" fillId="0" borderId="1" xfId="0" applyNumberFormat="1" applyFont="1" applyBorder="1" applyAlignment="1">
      <alignment horizontal="center" vertical="center"/>
    </xf>
    <xf numFmtId="1" fontId="3" fillId="4" borderId="1"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0" fillId="5" borderId="1" xfId="1" applyNumberFormat="1" applyFont="1" applyFill="1" applyBorder="1" applyAlignment="1">
      <alignment horizontal="center" vertical="center"/>
    </xf>
    <xf numFmtId="49" fontId="4" fillId="10" borderId="1" xfId="0" applyNumberFormat="1" applyFont="1" applyFill="1" applyBorder="1" applyAlignment="1">
      <alignment horizontal="center" vertical="center"/>
    </xf>
    <xf numFmtId="49" fontId="4" fillId="7" borderId="1" xfId="0" applyNumberFormat="1" applyFont="1" applyFill="1" applyBorder="1" applyAlignment="1">
      <alignment horizontal="center" vertical="center"/>
    </xf>
    <xf numFmtId="49" fontId="4" fillId="11" borderId="1" xfId="0" applyNumberFormat="1" applyFont="1" applyFill="1" applyBorder="1" applyAlignment="1">
      <alignment horizontal="center" vertical="center"/>
    </xf>
    <xf numFmtId="49" fontId="4" fillId="9" borderId="1" xfId="0" applyNumberFormat="1" applyFont="1" applyFill="1" applyBorder="1" applyAlignment="1">
      <alignment horizontal="center" vertical="center"/>
    </xf>
    <xf numFmtId="1" fontId="0" fillId="0" borderId="1" xfId="0" applyNumberFormat="1" applyFont="1" applyFill="1" applyBorder="1" applyAlignment="1">
      <alignment horizontal="center" vertical="center"/>
    </xf>
    <xf numFmtId="49" fontId="19" fillId="2" borderId="1" xfId="0" applyNumberFormat="1" applyFont="1" applyFill="1" applyBorder="1" applyAlignment="1">
      <alignment horizontal="center" vertical="center" wrapText="1"/>
    </xf>
    <xf numFmtId="49" fontId="0" fillId="4" borderId="1" xfId="0" applyNumberFormat="1" applyFill="1" applyBorder="1" applyAlignment="1">
      <alignment horizontal="center" vertical="center"/>
    </xf>
    <xf numFmtId="49" fontId="20" fillId="2" borderId="1" xfId="0" applyNumberFormat="1" applyFont="1" applyFill="1" applyBorder="1" applyAlignment="1">
      <alignment horizontal="center" vertical="center"/>
    </xf>
    <xf numFmtId="2" fontId="0" fillId="4" borderId="1" xfId="0" applyNumberFormat="1" applyFill="1" applyBorder="1" applyAlignment="1">
      <alignment horizontal="center" vertical="center"/>
    </xf>
    <xf numFmtId="1" fontId="0" fillId="4" borderId="1" xfId="0" applyNumberFormat="1" applyFill="1" applyBorder="1" applyAlignment="1">
      <alignment horizontal="center" vertical="center"/>
    </xf>
    <xf numFmtId="1" fontId="0" fillId="0" borderId="1" xfId="0" applyNumberFormat="1" applyFill="1" applyBorder="1" applyAlignment="1">
      <alignment horizontal="center" vertical="center"/>
    </xf>
    <xf numFmtId="1" fontId="0" fillId="14" borderId="1" xfId="0" applyNumberFormat="1" applyFill="1" applyBorder="1" applyAlignment="1">
      <alignment horizontal="center" vertical="center"/>
    </xf>
    <xf numFmtId="1" fontId="20" fillId="2" borderId="1" xfId="0" applyNumberFormat="1" applyFont="1" applyFill="1" applyBorder="1" applyAlignment="1">
      <alignment horizontal="center" vertical="center"/>
    </xf>
    <xf numFmtId="49" fontId="19" fillId="2" borderId="1" xfId="0" applyNumberFormat="1" applyFont="1" applyFill="1" applyBorder="1" applyAlignment="1">
      <alignment horizontal="center" vertical="center"/>
    </xf>
    <xf numFmtId="1" fontId="19" fillId="2" borderId="1" xfId="0" applyNumberFormat="1" applyFont="1" applyFill="1" applyBorder="1" applyAlignment="1">
      <alignment horizontal="center" vertical="center"/>
    </xf>
    <xf numFmtId="49" fontId="23" fillId="7" borderId="1" xfId="0" applyNumberFormat="1" applyFont="1" applyFill="1" applyBorder="1" applyAlignment="1">
      <alignment horizontal="center" vertical="center"/>
    </xf>
    <xf numFmtId="0" fontId="9" fillId="6" borderId="5" xfId="0" applyFont="1" applyFill="1" applyBorder="1" applyAlignment="1">
      <alignment horizontal="center" vertical="center"/>
    </xf>
    <xf numFmtId="0" fontId="9" fillId="6" borderId="0" xfId="0" applyFont="1" applyFill="1" applyBorder="1" applyAlignment="1">
      <alignment horizontal="center" vertical="center"/>
    </xf>
    <xf numFmtId="49" fontId="13" fillId="6" borderId="0" xfId="0" applyNumberFormat="1" applyFont="1" applyFill="1" applyBorder="1" applyAlignment="1">
      <alignment horizontal="center" vertical="center"/>
    </xf>
    <xf numFmtId="49" fontId="15" fillId="2" borderId="1" xfId="0" applyNumberFormat="1" applyFont="1" applyFill="1" applyBorder="1" applyAlignment="1">
      <alignment horizontal="center" vertical="center"/>
    </xf>
    <xf numFmtId="49" fontId="10" fillId="3" borderId="1" xfId="0" applyNumberFormat="1" applyFont="1" applyFill="1" applyBorder="1" applyAlignment="1">
      <alignment horizontal="center" vertical="center"/>
    </xf>
    <xf numFmtId="49" fontId="18" fillId="7" borderId="15" xfId="0" applyNumberFormat="1" applyFont="1" applyFill="1" applyBorder="1" applyAlignment="1">
      <alignment horizontal="center" vertical="center"/>
    </xf>
    <xf numFmtId="49" fontId="18" fillId="7" borderId="16" xfId="0" applyNumberFormat="1" applyFont="1" applyFill="1" applyBorder="1" applyAlignment="1">
      <alignment horizontal="center" vertical="center"/>
    </xf>
    <xf numFmtId="49" fontId="18" fillId="7" borderId="17" xfId="0" applyNumberFormat="1" applyFont="1" applyFill="1" applyBorder="1" applyAlignment="1">
      <alignment horizontal="center" vertical="center"/>
    </xf>
    <xf numFmtId="49" fontId="18" fillId="7" borderId="18" xfId="0" applyNumberFormat="1" applyFont="1" applyFill="1" applyBorder="1" applyAlignment="1">
      <alignment horizontal="center" vertical="center"/>
    </xf>
    <xf numFmtId="49" fontId="18" fillId="7" borderId="0" xfId="0" applyNumberFormat="1" applyFont="1" applyFill="1" applyBorder="1" applyAlignment="1">
      <alignment horizontal="center" vertical="center"/>
    </xf>
    <xf numFmtId="49" fontId="18" fillId="7" borderId="19" xfId="0" applyNumberFormat="1" applyFont="1" applyFill="1" applyBorder="1" applyAlignment="1">
      <alignment horizontal="center" vertical="center"/>
    </xf>
    <xf numFmtId="49" fontId="11" fillId="4" borderId="1" xfId="0" applyNumberFormat="1" applyFont="1" applyFill="1" applyBorder="1" applyAlignment="1">
      <alignment horizontal="center" vertical="center"/>
    </xf>
    <xf numFmtId="49" fontId="15" fillId="3" borderId="1" xfId="0" applyNumberFormat="1" applyFont="1" applyFill="1" applyBorder="1" applyAlignment="1">
      <alignment horizontal="center" vertical="center"/>
    </xf>
    <xf numFmtId="1" fontId="11" fillId="4" borderId="1" xfId="0" applyNumberFormat="1" applyFont="1" applyFill="1" applyBorder="1" applyAlignment="1">
      <alignment horizontal="center" vertical="center"/>
    </xf>
    <xf numFmtId="14" fontId="11" fillId="4" borderId="1" xfId="0" applyNumberFormat="1" applyFont="1" applyFill="1" applyBorder="1" applyAlignment="1">
      <alignment horizontal="center" vertical="center"/>
    </xf>
    <xf numFmtId="49" fontId="16" fillId="2" borderId="0" xfId="0" applyNumberFormat="1" applyFont="1" applyFill="1" applyBorder="1" applyAlignment="1">
      <alignment horizontal="center" vertical="center"/>
    </xf>
    <xf numFmtId="49" fontId="7" fillId="3" borderId="1" xfId="0" applyNumberFormat="1" applyFont="1" applyFill="1" applyBorder="1" applyAlignment="1">
      <alignment horizontal="center" vertical="center"/>
    </xf>
    <xf numFmtId="49" fontId="11" fillId="4" borderId="1" xfId="0" applyNumberFormat="1" applyFont="1" applyFill="1" applyBorder="1" applyAlignment="1" applyProtection="1">
      <alignment horizontal="center" vertical="center"/>
      <protection locked="0"/>
    </xf>
    <xf numFmtId="9" fontId="12" fillId="0" borderId="1" xfId="1" applyFont="1" applyFill="1" applyBorder="1" applyAlignment="1">
      <alignment horizontal="center" vertical="center"/>
    </xf>
    <xf numFmtId="1" fontId="8" fillId="0" borderId="1" xfId="0" applyNumberFormat="1" applyFont="1" applyFill="1" applyBorder="1" applyAlignment="1">
      <alignment horizontal="center" vertical="center"/>
    </xf>
    <xf numFmtId="49" fontId="8" fillId="0" borderId="1" xfId="0" applyNumberFormat="1" applyFont="1" applyFill="1" applyBorder="1" applyAlignment="1">
      <alignment horizontal="center" vertical="center"/>
    </xf>
    <xf numFmtId="49" fontId="11" fillId="3" borderId="1" xfId="0" applyNumberFormat="1"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49" fontId="4" fillId="3" borderId="2"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4" fillId="3" borderId="4" xfId="0" applyNumberFormat="1" applyFont="1" applyFill="1" applyBorder="1" applyAlignment="1">
      <alignment horizontal="center" vertical="center"/>
    </xf>
    <xf numFmtId="0" fontId="9" fillId="8" borderId="0" xfId="0" applyFont="1" applyFill="1" applyAlignment="1">
      <alignment horizontal="center"/>
    </xf>
    <xf numFmtId="2" fontId="0" fillId="4" borderId="9" xfId="0" applyNumberFormat="1" applyFont="1" applyFill="1" applyBorder="1" applyAlignment="1">
      <alignment horizontal="center" vertical="center"/>
    </xf>
    <xf numFmtId="2" fontId="0" fillId="4" borderId="8" xfId="0" applyNumberFormat="1" applyFont="1" applyFill="1" applyBorder="1" applyAlignment="1">
      <alignment horizontal="center" vertical="center"/>
    </xf>
    <xf numFmtId="1" fontId="0" fillId="4" borderId="9" xfId="0" applyNumberFormat="1" applyFont="1" applyFill="1" applyBorder="1" applyAlignment="1">
      <alignment horizontal="center" vertical="center"/>
    </xf>
    <xf numFmtId="1" fontId="0" fillId="4" borderId="8" xfId="0" applyNumberFormat="1" applyFont="1" applyFill="1" applyBorder="1" applyAlignment="1">
      <alignment horizontal="center" vertical="center"/>
    </xf>
    <xf numFmtId="0" fontId="0" fillId="8" borderId="0" xfId="0" applyFill="1" applyAlignment="1">
      <alignment horizontal="center"/>
    </xf>
    <xf numFmtId="49" fontId="5" fillId="2" borderId="9" xfId="0" applyNumberFormat="1" applyFont="1" applyFill="1" applyBorder="1" applyAlignment="1">
      <alignment horizontal="center" vertical="center"/>
    </xf>
    <xf numFmtId="49" fontId="5" fillId="2" borderId="14" xfId="0" applyNumberFormat="1" applyFont="1" applyFill="1" applyBorder="1" applyAlignment="1">
      <alignment horizontal="center" vertical="center"/>
    </xf>
    <xf numFmtId="49" fontId="5" fillId="2" borderId="8" xfId="0" applyNumberFormat="1" applyFont="1" applyFill="1" applyBorder="1" applyAlignment="1">
      <alignment horizontal="center" vertical="center"/>
    </xf>
    <xf numFmtId="49" fontId="4" fillId="3" borderId="9" xfId="0" applyNumberFormat="1" applyFont="1" applyFill="1" applyBorder="1" applyAlignment="1">
      <alignment horizontal="center" vertical="center"/>
    </xf>
    <xf numFmtId="49" fontId="4" fillId="3" borderId="14" xfId="0" applyNumberFormat="1" applyFont="1" applyFill="1" applyBorder="1" applyAlignment="1">
      <alignment horizontal="center" vertical="center"/>
    </xf>
    <xf numFmtId="49" fontId="4" fillId="3" borderId="8" xfId="0" applyNumberFormat="1" applyFont="1" applyFill="1" applyBorder="1" applyAlignment="1">
      <alignment horizontal="center" vertical="center"/>
    </xf>
    <xf numFmtId="0" fontId="0" fillId="3" borderId="6" xfId="0" applyFont="1" applyFill="1" applyBorder="1" applyAlignment="1">
      <alignment horizontal="center" vertical="center" textRotation="45"/>
    </xf>
    <xf numFmtId="0" fontId="0" fillId="3" borderId="7" xfId="0" applyFont="1" applyFill="1" applyBorder="1" applyAlignment="1">
      <alignment horizontal="center" vertical="center" textRotation="45"/>
    </xf>
    <xf numFmtId="49" fontId="5" fillId="2" borderId="12" xfId="0" applyNumberFormat="1" applyFont="1" applyFill="1" applyBorder="1" applyAlignment="1">
      <alignment horizontal="center" vertical="center"/>
    </xf>
    <xf numFmtId="49" fontId="5" fillId="2" borderId="5" xfId="0" applyNumberFormat="1" applyFont="1" applyFill="1" applyBorder="1" applyAlignment="1">
      <alignment horizontal="center" vertical="center"/>
    </xf>
    <xf numFmtId="49" fontId="5" fillId="2" borderId="11" xfId="0" applyNumberFormat="1" applyFont="1" applyFill="1" applyBorder="1" applyAlignment="1">
      <alignment horizontal="center" vertical="center"/>
    </xf>
    <xf numFmtId="49" fontId="5" fillId="2" borderId="10" xfId="0" applyNumberFormat="1" applyFont="1" applyFill="1" applyBorder="1" applyAlignment="1">
      <alignment horizontal="center" vertical="center"/>
    </xf>
    <xf numFmtId="49" fontId="5" fillId="2" borderId="13" xfId="0" applyNumberFormat="1" applyFont="1" applyFill="1" applyBorder="1" applyAlignment="1">
      <alignment horizontal="center" vertical="center"/>
    </xf>
    <xf numFmtId="49" fontId="5" fillId="2" borderId="7" xfId="0" applyNumberFormat="1" applyFont="1" applyFill="1" applyBorder="1" applyAlignment="1">
      <alignment horizontal="center" vertical="center"/>
    </xf>
    <xf numFmtId="49" fontId="4" fillId="3" borderId="1" xfId="0" applyNumberFormat="1" applyFont="1" applyFill="1" applyBorder="1" applyAlignment="1">
      <alignment horizontal="center" vertical="center"/>
    </xf>
    <xf numFmtId="49" fontId="4" fillId="3" borderId="2" xfId="0" applyNumberFormat="1" applyFont="1" applyFill="1" applyBorder="1" applyAlignment="1">
      <alignment horizontal="center" vertical="center" wrapText="1"/>
    </xf>
    <xf numFmtId="49" fontId="4" fillId="3" borderId="3" xfId="0" applyNumberFormat="1" applyFont="1" applyFill="1" applyBorder="1" applyAlignment="1">
      <alignment horizontal="center" vertical="center" wrapText="1"/>
    </xf>
    <xf numFmtId="49" fontId="4" fillId="3" borderId="4" xfId="0" applyNumberFormat="1" applyFont="1" applyFill="1" applyBorder="1" applyAlignment="1">
      <alignment horizontal="center" vertical="center" wrapText="1"/>
    </xf>
    <xf numFmtId="1" fontId="0" fillId="4" borderId="1" xfId="0" applyNumberFormat="1" applyFont="1" applyFill="1" applyBorder="1" applyAlignment="1">
      <alignment horizontal="center" vertical="center"/>
    </xf>
    <xf numFmtId="49" fontId="6" fillId="2" borderId="9" xfId="0" applyNumberFormat="1" applyFont="1" applyFill="1" applyBorder="1" applyAlignment="1">
      <alignment horizontal="center" vertical="center"/>
    </xf>
    <xf numFmtId="49" fontId="6" fillId="2" borderId="14" xfId="0" applyNumberFormat="1" applyFont="1" applyFill="1" applyBorder="1" applyAlignment="1">
      <alignment horizontal="center" vertical="center"/>
    </xf>
    <xf numFmtId="49" fontId="6" fillId="2" borderId="8" xfId="0" applyNumberFormat="1" applyFont="1" applyFill="1" applyBorder="1" applyAlignment="1">
      <alignment horizontal="center" vertical="center"/>
    </xf>
    <xf numFmtId="0" fontId="0" fillId="3" borderId="6" xfId="0" applyFont="1" applyFill="1" applyBorder="1" applyAlignment="1">
      <alignment horizontal="center" vertical="center"/>
    </xf>
    <xf numFmtId="0" fontId="0" fillId="3" borderId="7" xfId="0" applyFont="1" applyFill="1" applyBorder="1" applyAlignment="1">
      <alignment horizontal="center" vertical="center"/>
    </xf>
    <xf numFmtId="49" fontId="6" fillId="2" borderId="1" xfId="0" applyNumberFormat="1" applyFont="1" applyFill="1" applyBorder="1" applyAlignment="1">
      <alignment horizontal="center" vertical="center"/>
    </xf>
    <xf numFmtId="2" fontId="0" fillId="4" borderId="1" xfId="0" applyNumberFormat="1" applyFont="1" applyFill="1" applyBorder="1" applyAlignment="1">
      <alignment horizontal="center" vertical="center"/>
    </xf>
    <xf numFmtId="1" fontId="0" fillId="4" borderId="1" xfId="0" applyNumberFormat="1" applyFill="1" applyBorder="1" applyAlignment="1">
      <alignment horizontal="center" vertical="center"/>
    </xf>
    <xf numFmtId="1" fontId="0" fillId="4" borderId="9" xfId="0" applyNumberFormat="1" applyFill="1" applyBorder="1" applyAlignment="1">
      <alignment horizontal="center" vertical="center"/>
    </xf>
    <xf numFmtId="1" fontId="0" fillId="4" borderId="8" xfId="0" applyNumberFormat="1" applyFill="1" applyBorder="1" applyAlignment="1">
      <alignment horizontal="center" vertical="center"/>
    </xf>
    <xf numFmtId="2" fontId="0" fillId="4" borderId="9" xfId="0" applyNumberFormat="1" applyFill="1" applyBorder="1" applyAlignment="1">
      <alignment horizontal="center" vertical="center"/>
    </xf>
    <xf numFmtId="2" fontId="0" fillId="4" borderId="8" xfId="0" applyNumberFormat="1" applyFill="1" applyBorder="1" applyAlignment="1">
      <alignment horizontal="center" vertical="center"/>
    </xf>
    <xf numFmtId="49" fontId="18" fillId="7" borderId="0" xfId="0" applyNumberFormat="1" applyFont="1" applyFill="1" applyAlignment="1">
      <alignment horizontal="center" vertical="center"/>
    </xf>
    <xf numFmtId="49" fontId="14" fillId="13" borderId="0" xfId="0" applyNumberFormat="1" applyFont="1" applyFill="1" applyAlignment="1">
      <alignment horizontal="center" vertical="center"/>
    </xf>
    <xf numFmtId="49" fontId="21" fillId="2" borderId="1" xfId="0" applyNumberFormat="1" applyFont="1" applyFill="1" applyBorder="1" applyAlignment="1">
      <alignment horizontal="center" vertical="center"/>
    </xf>
    <xf numFmtId="49" fontId="21" fillId="2" borderId="9" xfId="0" applyNumberFormat="1" applyFont="1" applyFill="1" applyBorder="1" applyAlignment="1">
      <alignment horizontal="center" vertical="center"/>
    </xf>
    <xf numFmtId="49" fontId="21" fillId="2" borderId="8" xfId="0" applyNumberFormat="1" applyFont="1" applyFill="1" applyBorder="1" applyAlignment="1">
      <alignment horizontal="center" vertical="center"/>
    </xf>
    <xf numFmtId="49" fontId="21" fillId="2" borderId="0" xfId="0" applyNumberFormat="1" applyFont="1" applyFill="1" applyAlignment="1" applyProtection="1">
      <alignment horizontal="center" vertical="center"/>
    </xf>
    <xf numFmtId="0" fontId="0" fillId="4" borderId="0" xfId="0" applyFill="1" applyAlignment="1" applyProtection="1">
      <alignment horizontal="center"/>
    </xf>
    <xf numFmtId="49" fontId="21" fillId="2" borderId="0" xfId="0" applyNumberFormat="1" applyFont="1" applyFill="1" applyAlignment="1">
      <alignment horizontal="center" vertical="center"/>
    </xf>
    <xf numFmtId="49" fontId="14" fillId="15" borderId="0" xfId="0" applyNumberFormat="1" applyFont="1" applyFill="1" applyAlignment="1">
      <alignment horizontal="center" vertic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4" borderId="0" xfId="0" applyFill="1" applyAlignment="1">
      <alignment horizontal="center"/>
    </xf>
    <xf numFmtId="0" fontId="0" fillId="8" borderId="0" xfId="0" applyFill="1" applyAlignment="1">
      <alignment horizontal="center" vertical="center"/>
    </xf>
    <xf numFmtId="0" fontId="0" fillId="3" borderId="6" xfId="0" applyFill="1" applyBorder="1" applyAlignment="1">
      <alignment horizontal="center"/>
    </xf>
    <xf numFmtId="0" fontId="0" fillId="3" borderId="7" xfId="0" applyFill="1" applyBorder="1" applyAlignment="1">
      <alignment horizontal="center"/>
    </xf>
    <xf numFmtId="49" fontId="22" fillId="7" borderId="0" xfId="0" applyNumberFormat="1" applyFont="1" applyFill="1" applyAlignment="1">
      <alignment horizontal="center" vertical="center"/>
    </xf>
    <xf numFmtId="49" fontId="22" fillId="10" borderId="0" xfId="0" applyNumberFormat="1" applyFont="1" applyFill="1" applyAlignment="1">
      <alignment horizontal="center" vertical="center"/>
    </xf>
    <xf numFmtId="49" fontId="22" fillId="17" borderId="0" xfId="0" applyNumberFormat="1" applyFont="1" applyFill="1" applyAlignment="1">
      <alignment horizontal="center" vertical="center"/>
    </xf>
    <xf numFmtId="0" fontId="0" fillId="6" borderId="0" xfId="0" applyFill="1" applyAlignment="1">
      <alignment horizontal="center"/>
    </xf>
  </cellXfs>
  <cellStyles count="4">
    <cellStyle name="Normal" xfId="0" builtinId="0"/>
    <cellStyle name="Percent" xfId="1" builtinId="5"/>
    <cellStyle name="Style 1" xfId="2" xr:uid="{00000000-0005-0000-0000-000002000000}"/>
    <cellStyle name="Style 2" xfId="3" xr:uid="{00000000-0005-0000-0000-000003000000}"/>
  </cellStyles>
  <dxfs count="1472">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 formatCode="0"/>
    </dxf>
    <dxf>
      <numFmt numFmtId="1" formatCode="0"/>
    </dxf>
    <dxf>
      <numFmt numFmtId="30" formatCode="@"/>
    </dxf>
    <dxf>
      <numFmt numFmtId="30" formatCode="@"/>
    </dxf>
    <dxf>
      <numFmt numFmtId="30" formatCode="@"/>
    </dxf>
    <dxf>
      <numFmt numFmtId="30" formatCode="@"/>
    </dxf>
    <dxf>
      <font>
        <b/>
      </font>
    </dxf>
    <dxf>
      <font>
        <b/>
      </font>
    </dxf>
    <dxf>
      <font>
        <color theme="0"/>
      </font>
    </dxf>
    <dxf>
      <font>
        <color theme="0"/>
      </font>
    </dxf>
    <dxf>
      <font>
        <color theme="0"/>
      </font>
    </dxf>
    <dxf>
      <font>
        <color theme="0"/>
      </font>
    </dxf>
    <dxf>
      <font>
        <b/>
      </font>
    </dxf>
    <dxf>
      <font>
        <b/>
      </font>
    </dxf>
    <dxf>
      <fill>
        <patternFill>
          <bgColor theme="4" tint="-0.249977111117893"/>
        </patternFill>
      </fill>
    </dxf>
    <dxf>
      <fill>
        <patternFill>
          <bgColor theme="4" tint="-0.249977111117893"/>
        </patternFill>
      </fill>
    </dxf>
    <dxf>
      <fill>
        <patternFill>
          <bgColor theme="4" tint="0.59999389629810485"/>
        </patternFill>
      </fill>
    </dxf>
    <dxf>
      <fill>
        <patternFill>
          <bgColor theme="4" tint="-0.249977111117893"/>
        </patternFill>
      </fill>
    </dxf>
    <dxf>
      <fill>
        <patternFill>
          <bgColor theme="4" tint="-0.249977111117893"/>
        </patternFill>
      </fill>
    </dxf>
    <dxf>
      <fill>
        <patternFill>
          <bgColor theme="4" tint="0.59999389629810485"/>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 formatCode="0"/>
    </dxf>
    <dxf>
      <numFmt numFmtId="30" formatCode="@"/>
    </dxf>
    <dxf>
      <numFmt numFmtId="30" formatCode="@"/>
    </dxf>
    <dxf>
      <numFmt numFmtId="30" formatCode="@"/>
    </dxf>
    <dxf>
      <numFmt numFmtId="30" formatCode="@"/>
    </dxf>
    <dxf>
      <font>
        <b/>
      </font>
    </dxf>
    <dxf>
      <font>
        <b/>
      </font>
    </dxf>
    <dxf>
      <font>
        <color theme="0"/>
      </font>
    </dxf>
    <dxf>
      <font>
        <color theme="0"/>
      </font>
    </dxf>
    <dxf>
      <font>
        <color theme="0"/>
      </font>
    </dxf>
    <dxf>
      <font>
        <color theme="0"/>
      </font>
    </dxf>
    <dxf>
      <fill>
        <patternFill>
          <bgColor theme="4" tint="-0.249977111117893"/>
        </patternFill>
      </fill>
    </dxf>
    <dxf>
      <fill>
        <patternFill>
          <bgColor theme="4" tint="-0.249977111117893"/>
        </patternFill>
      </fill>
    </dxf>
    <dxf>
      <fill>
        <patternFill>
          <bgColor theme="4" tint="0.59999389629810485"/>
        </patternFill>
      </fill>
    </dxf>
    <dxf>
      <fill>
        <patternFill>
          <bgColor theme="4" tint="-0.249977111117893"/>
        </patternFill>
      </fill>
    </dxf>
    <dxf>
      <fill>
        <patternFill>
          <bgColor theme="4" tint="-0.249977111117893"/>
        </patternFill>
      </fill>
    </dxf>
    <dxf>
      <fill>
        <patternFill>
          <bgColor theme="4" tint="0.59999389629810485"/>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 formatCode="0"/>
    </dxf>
    <dxf>
      <numFmt numFmtId="30" formatCode="@"/>
    </dxf>
    <dxf>
      <numFmt numFmtId="30" formatCode="@"/>
    </dxf>
    <dxf>
      <numFmt numFmtId="30" formatCode="@"/>
    </dxf>
    <dxf>
      <numFmt numFmtId="30" formatCode="@"/>
    </dxf>
    <dxf>
      <font>
        <b/>
      </font>
    </dxf>
    <dxf>
      <font>
        <b/>
      </font>
    </dxf>
    <dxf>
      <font>
        <color theme="0"/>
      </font>
    </dxf>
    <dxf>
      <font>
        <color theme="0"/>
      </font>
    </dxf>
    <dxf>
      <font>
        <b/>
      </font>
    </dxf>
    <dxf>
      <font>
        <b/>
      </font>
    </dxf>
    <dxf>
      <font>
        <color theme="0"/>
      </font>
    </dxf>
    <dxf>
      <font>
        <color theme="0"/>
      </font>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249977111117893"/>
        </patternFill>
      </fill>
    </dxf>
    <dxf>
      <fill>
        <patternFill>
          <bgColor theme="4" tint="0.59999389629810485"/>
        </patternFill>
      </fill>
    </dxf>
    <dxf>
      <fill>
        <patternFill>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b/>
        <i val="0"/>
        <color theme="0"/>
      </font>
      <fill>
        <patternFill patternType="lightUp">
          <bgColor rgb="FFFF6699"/>
        </patternFill>
      </fill>
    </dxf>
    <dxf>
      <font>
        <b/>
        <i val="0"/>
        <color theme="0"/>
      </font>
      <fill>
        <patternFill patternType="gray0625">
          <bgColor rgb="FF99FF33"/>
        </patternFill>
      </fill>
    </dxf>
    <dxf>
      <font>
        <b/>
        <i val="0"/>
        <color theme="0"/>
      </font>
      <fill>
        <patternFill patternType="gray0625">
          <bgColor rgb="FF33CC33"/>
        </patternFill>
      </fill>
    </dxf>
    <dxf>
      <font>
        <color theme="1"/>
      </font>
      <fill>
        <patternFill>
          <bgColor rgb="FFE91717"/>
        </patternFill>
      </fill>
    </dxf>
    <dxf>
      <font>
        <color theme="0"/>
      </font>
      <fill>
        <patternFill>
          <bgColor rgb="FFFF6699"/>
        </patternFill>
      </fill>
    </dxf>
    <dxf>
      <font>
        <b/>
        <i val="0"/>
        <u val="none"/>
        <color theme="0"/>
      </font>
      <fill>
        <patternFill patternType="lightUp">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b/>
        <i val="0"/>
        <u val="none"/>
        <color theme="0"/>
      </font>
      <fill>
        <patternFill patternType="lightUp">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b/>
        <i val="0"/>
        <u val="none"/>
        <color theme="0"/>
      </font>
      <fill>
        <patternFill patternType="lightUp">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b/>
        <i val="0"/>
        <u val="none"/>
        <color theme="0"/>
      </font>
      <fill>
        <patternFill patternType="lightUp">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b/>
        <i val="0"/>
        <u val="none"/>
        <color theme="0"/>
      </font>
      <fill>
        <patternFill patternType="lightUp">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b/>
        <i val="0"/>
        <u val="none"/>
        <color theme="0"/>
      </font>
      <fill>
        <patternFill patternType="lightUp">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b/>
        <i val="0"/>
        <u val="none"/>
        <color theme="0"/>
      </font>
      <fill>
        <patternFill patternType="lightUp">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b/>
        <i val="0"/>
        <u val="none"/>
        <color theme="0"/>
      </font>
      <fill>
        <patternFill patternType="lightUp">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ill>
        <patternFill patternType="lightUp">
          <bgColor rgb="FF7030A0"/>
        </patternFill>
      </fill>
    </dxf>
    <dxf>
      <font>
        <b/>
        <i val="0"/>
        <color theme="0"/>
      </font>
      <fill>
        <patternFill patternType="lightDown">
          <bgColor rgb="FFFF8F8F"/>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E91717"/>
        </patternFill>
      </fill>
    </dxf>
    <dxf>
      <font>
        <color theme="0"/>
      </font>
      <fill>
        <patternFill>
          <bgColor rgb="FFFF6699"/>
        </patternFill>
      </fill>
    </dxf>
    <dxf>
      <font>
        <b/>
        <i val="0"/>
        <u val="none"/>
        <color theme="0"/>
      </font>
      <fill>
        <patternFill patternType="lightUp">
          <bgColor rgb="FFFF6699"/>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
      <font>
        <color theme="1"/>
      </font>
      <fill>
        <patternFill>
          <bgColor rgb="FFFF0000"/>
        </patternFill>
      </fill>
    </dxf>
    <dxf>
      <font>
        <color theme="1"/>
      </font>
      <fill>
        <patternFill>
          <bgColor rgb="FFFF9933"/>
        </patternFill>
      </fill>
    </dxf>
    <dxf>
      <font>
        <color theme="1"/>
      </font>
      <fill>
        <patternFill>
          <bgColor rgb="FFFFFF00"/>
        </patternFill>
      </fill>
    </dxf>
    <dxf>
      <font>
        <color theme="1"/>
      </font>
      <fill>
        <patternFill>
          <bgColor rgb="FF66FF66"/>
        </patternFill>
      </fill>
    </dxf>
    <dxf>
      <font>
        <color theme="1"/>
      </font>
      <fill>
        <patternFill>
          <bgColor rgb="FF00FF00"/>
        </patternFill>
      </fill>
    </dxf>
  </dxfs>
  <tableStyles count="0" defaultTableStyle="TableStyleMedium2" defaultPivotStyle="PivotStyleLight16"/>
  <colors>
    <mruColors>
      <color rgb="FFFFFFCC"/>
      <color rgb="FFCCFFCC"/>
      <color rgb="FFCCFFFF"/>
      <color rgb="FFCC99FF"/>
      <color rgb="FF99FF33"/>
      <color rgb="FFFF3300"/>
      <color rgb="FF00FFFF"/>
      <color rgb="FFCCCCFF"/>
      <color rgb="FFFF99FF"/>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07/relationships/slicerCache" Target="slicerCaches/slicerCache14.xml"/><Relationship Id="rId39" Type="http://schemas.openxmlformats.org/officeDocument/2006/relationships/calcChain" Target="calcChain.xml"/><Relationship Id="rId21" Type="http://schemas.microsoft.com/office/2007/relationships/slicerCache" Target="slicerCaches/slicerCache9.xml"/><Relationship Id="rId34" Type="http://schemas.microsoft.com/office/2007/relationships/slicerCache" Target="slicerCaches/slicerCache22.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5.xml"/><Relationship Id="rId25" Type="http://schemas.microsoft.com/office/2007/relationships/slicerCache" Target="slicerCaches/slicerCache13.xml"/><Relationship Id="rId33" Type="http://schemas.microsoft.com/office/2007/relationships/slicerCache" Target="slicerCaches/slicerCache21.xml"/><Relationship Id="rId38"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4.xml"/><Relationship Id="rId20" Type="http://schemas.microsoft.com/office/2007/relationships/slicerCache" Target="slicerCaches/slicerCache8.xml"/><Relationship Id="rId29" Type="http://schemas.microsoft.com/office/2007/relationships/slicerCache" Target="slicerCaches/slicerCache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7/relationships/slicerCache" Target="slicerCaches/slicerCache12.xml"/><Relationship Id="rId32" Type="http://schemas.microsoft.com/office/2007/relationships/slicerCache" Target="slicerCaches/slicerCache20.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7/relationships/slicerCache" Target="slicerCaches/slicerCache11.xml"/><Relationship Id="rId28" Type="http://schemas.microsoft.com/office/2007/relationships/slicerCache" Target="slicerCaches/slicerCache16.xml"/><Relationship Id="rId36"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7/relationships/slicerCache" Target="slicerCaches/slicerCache7.xml"/><Relationship Id="rId31" Type="http://schemas.microsoft.com/office/2007/relationships/slicerCache" Target="slicerCaches/slicerCache19.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7/relationships/slicerCache" Target="slicerCaches/slicerCache10.xml"/><Relationship Id="rId27" Type="http://schemas.microsoft.com/office/2007/relationships/slicerCache" Target="slicerCaches/slicerCache15.xml"/><Relationship Id="rId30" Type="http://schemas.microsoft.com/office/2007/relationships/slicerCache" Target="slicerCaches/slicerCache18.xml"/><Relationship Id="rId35" Type="http://schemas.microsoft.com/office/2007/relationships/slicerCache" Target="slicerCaches/slicerCache23.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Students Grades</a:t>
            </a:r>
            <a:endParaRPr lang="ar-SA" sz="1800" b="1"/>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'Cyber Security (Level 1)'!$H$41</c:f>
              <c:strCache>
                <c:ptCount val="1"/>
                <c:pt idx="0">
                  <c:v>Distinction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1)'!$I$39:$P$40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1)'!$I$41:$P$41</c:f>
              <c:numCache>
                <c:formatCode>0</c:formatCode>
                <c:ptCount val="8"/>
                <c:pt idx="0">
                  <c:v>7</c:v>
                </c:pt>
                <c:pt idx="1">
                  <c:v>5</c:v>
                </c:pt>
                <c:pt idx="2">
                  <c:v>6</c:v>
                </c:pt>
                <c:pt idx="3">
                  <c:v>11</c:v>
                </c:pt>
                <c:pt idx="4">
                  <c:v>6</c:v>
                </c:pt>
                <c:pt idx="5">
                  <c:v>10</c:v>
                </c:pt>
                <c:pt idx="6">
                  <c:v>10</c:v>
                </c:pt>
                <c:pt idx="7">
                  <c:v>9</c:v>
                </c:pt>
              </c:numCache>
            </c:numRef>
          </c:val>
          <c:extLst>
            <c:ext xmlns:c16="http://schemas.microsoft.com/office/drawing/2014/chart" uri="{C3380CC4-5D6E-409C-BE32-E72D297353CC}">
              <c16:uniqueId val="{00000000-F168-4474-A54E-961D2D6E0DD1}"/>
            </c:ext>
          </c:extLst>
        </c:ser>
        <c:ser>
          <c:idx val="1"/>
          <c:order val="1"/>
          <c:tx>
            <c:strRef>
              <c:f>'Cyber Security (Level 1)'!$H$42</c:f>
              <c:strCache>
                <c:ptCount val="1"/>
                <c:pt idx="0">
                  <c:v>Merit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1)'!$I$39:$P$40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1)'!$I$42:$P$42</c:f>
              <c:numCache>
                <c:formatCode>0</c:formatCode>
                <c:ptCount val="8"/>
                <c:pt idx="0">
                  <c:v>8</c:v>
                </c:pt>
                <c:pt idx="1">
                  <c:v>6</c:v>
                </c:pt>
                <c:pt idx="2">
                  <c:v>7</c:v>
                </c:pt>
                <c:pt idx="3">
                  <c:v>5</c:v>
                </c:pt>
                <c:pt idx="4">
                  <c:v>7</c:v>
                </c:pt>
                <c:pt idx="5">
                  <c:v>8</c:v>
                </c:pt>
                <c:pt idx="6">
                  <c:v>6</c:v>
                </c:pt>
                <c:pt idx="7">
                  <c:v>3</c:v>
                </c:pt>
              </c:numCache>
            </c:numRef>
          </c:val>
          <c:extLst>
            <c:ext xmlns:c16="http://schemas.microsoft.com/office/drawing/2014/chart" uri="{C3380CC4-5D6E-409C-BE32-E72D297353CC}">
              <c16:uniqueId val="{00000001-F168-4474-A54E-961D2D6E0DD1}"/>
            </c:ext>
          </c:extLst>
        </c:ser>
        <c:ser>
          <c:idx val="2"/>
          <c:order val="2"/>
          <c:tx>
            <c:strRef>
              <c:f>'Cyber Security (Level 1)'!$H$43</c:f>
              <c:strCache>
                <c:ptCount val="1"/>
                <c:pt idx="0">
                  <c:v>Pass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1)'!$I$39:$P$40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1)'!$I$43:$P$43</c:f>
              <c:numCache>
                <c:formatCode>0</c:formatCode>
                <c:ptCount val="8"/>
                <c:pt idx="0">
                  <c:v>9</c:v>
                </c:pt>
                <c:pt idx="1">
                  <c:v>18</c:v>
                </c:pt>
                <c:pt idx="2">
                  <c:v>13</c:v>
                </c:pt>
                <c:pt idx="3">
                  <c:v>9</c:v>
                </c:pt>
                <c:pt idx="4">
                  <c:v>15</c:v>
                </c:pt>
                <c:pt idx="5">
                  <c:v>6</c:v>
                </c:pt>
                <c:pt idx="6">
                  <c:v>9</c:v>
                </c:pt>
                <c:pt idx="7">
                  <c:v>11</c:v>
                </c:pt>
              </c:numCache>
            </c:numRef>
          </c:val>
          <c:extLst>
            <c:ext xmlns:c16="http://schemas.microsoft.com/office/drawing/2014/chart" uri="{C3380CC4-5D6E-409C-BE32-E72D297353CC}">
              <c16:uniqueId val="{00000002-F168-4474-A54E-961D2D6E0DD1}"/>
            </c:ext>
          </c:extLst>
        </c:ser>
        <c:ser>
          <c:idx val="3"/>
          <c:order val="3"/>
          <c:tx>
            <c:strRef>
              <c:f>'Cyber Security (Level 1)'!$H$44</c:f>
              <c:strCache>
                <c:ptCount val="1"/>
                <c:pt idx="0">
                  <c:v>No Grade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1)'!$I$39:$P$40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1)'!$I$44:$P$44</c:f>
              <c:numCache>
                <c:formatCode>0</c:formatCode>
                <c:ptCount val="8"/>
                <c:pt idx="0">
                  <c:v>6</c:v>
                </c:pt>
                <c:pt idx="1">
                  <c:v>1</c:v>
                </c:pt>
                <c:pt idx="2">
                  <c:v>4</c:v>
                </c:pt>
                <c:pt idx="3">
                  <c:v>5</c:v>
                </c:pt>
                <c:pt idx="4">
                  <c:v>2</c:v>
                </c:pt>
                <c:pt idx="5">
                  <c:v>6</c:v>
                </c:pt>
                <c:pt idx="6">
                  <c:v>5</c:v>
                </c:pt>
                <c:pt idx="7">
                  <c:v>7</c:v>
                </c:pt>
              </c:numCache>
            </c:numRef>
          </c:val>
          <c:extLst>
            <c:ext xmlns:c16="http://schemas.microsoft.com/office/drawing/2014/chart" uri="{C3380CC4-5D6E-409C-BE32-E72D297353CC}">
              <c16:uniqueId val="{00000003-F168-4474-A54E-961D2D6E0DD1}"/>
            </c:ext>
          </c:extLst>
        </c:ser>
        <c:dLbls>
          <c:dLblPos val="inEnd"/>
          <c:showLegendKey val="0"/>
          <c:showVal val="1"/>
          <c:showCatName val="0"/>
          <c:showSerName val="0"/>
          <c:showPercent val="0"/>
          <c:showBubbleSize val="0"/>
        </c:dLbls>
        <c:gapWidth val="100"/>
        <c:overlap val="-24"/>
        <c:axId val="1362820496"/>
        <c:axId val="1309876400"/>
      </c:barChart>
      <c:catAx>
        <c:axId val="136282049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09876400"/>
        <c:crosses val="autoZero"/>
        <c:auto val="1"/>
        <c:lblAlgn val="ctr"/>
        <c:lblOffset val="100"/>
        <c:noMultiLvlLbl val="0"/>
      </c:catAx>
      <c:valAx>
        <c:axId val="13098764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6282049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Mark (Out of 200)</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'Cyber Security (Level 1)'!$A$6:$A$35</c:f>
              <c:strCache>
                <c:ptCount val="30"/>
                <c:pt idx="0">
                  <c:v>Anette</c:v>
                </c:pt>
                <c:pt idx="1">
                  <c:v>Arlyne</c:v>
                </c:pt>
                <c:pt idx="2">
                  <c:v>Beau</c:v>
                </c:pt>
                <c:pt idx="3">
                  <c:v>Belia</c:v>
                </c:pt>
                <c:pt idx="4">
                  <c:v>Britney</c:v>
                </c:pt>
                <c:pt idx="5">
                  <c:v>Celesta</c:v>
                </c:pt>
                <c:pt idx="6">
                  <c:v>Claudie</c:v>
                </c:pt>
                <c:pt idx="7">
                  <c:v>Doretha</c:v>
                </c:pt>
                <c:pt idx="8">
                  <c:v>Doug</c:v>
                </c:pt>
                <c:pt idx="9">
                  <c:v>Eli</c:v>
                </c:pt>
                <c:pt idx="10">
                  <c:v>Elvia</c:v>
                </c:pt>
                <c:pt idx="11">
                  <c:v>Ernesto</c:v>
                </c:pt>
                <c:pt idx="12">
                  <c:v>Faustino</c:v>
                </c:pt>
                <c:pt idx="13">
                  <c:v>Fredericka</c:v>
                </c:pt>
                <c:pt idx="14">
                  <c:v>Izola</c:v>
                </c:pt>
                <c:pt idx="15">
                  <c:v>Jc</c:v>
                </c:pt>
                <c:pt idx="16">
                  <c:v>Joi</c:v>
                </c:pt>
                <c:pt idx="17">
                  <c:v>Jonnie</c:v>
                </c:pt>
                <c:pt idx="18">
                  <c:v>Juliette</c:v>
                </c:pt>
                <c:pt idx="19">
                  <c:v>Julissa</c:v>
                </c:pt>
                <c:pt idx="20">
                  <c:v>Kaitlyn</c:v>
                </c:pt>
                <c:pt idx="21">
                  <c:v>Keren</c:v>
                </c:pt>
                <c:pt idx="22">
                  <c:v>Laticia</c:v>
                </c:pt>
                <c:pt idx="23">
                  <c:v>Laura</c:v>
                </c:pt>
                <c:pt idx="24">
                  <c:v>Leon</c:v>
                </c:pt>
                <c:pt idx="25">
                  <c:v>Mee</c:v>
                </c:pt>
                <c:pt idx="26">
                  <c:v>Shawnna</c:v>
                </c:pt>
                <c:pt idx="27">
                  <c:v>Shirly</c:v>
                </c:pt>
                <c:pt idx="28">
                  <c:v>Tobie</c:v>
                </c:pt>
                <c:pt idx="29">
                  <c:v>Waylon</c:v>
                </c:pt>
              </c:strCache>
            </c:strRef>
          </c:cat>
          <c:val>
            <c:numRef>
              <c:f>'Cyber Security (Level 1)'!$R$6:$R$35</c:f>
              <c:numCache>
                <c:formatCode>0</c:formatCode>
                <c:ptCount val="30"/>
                <c:pt idx="0">
                  <c:v>123</c:v>
                </c:pt>
                <c:pt idx="1">
                  <c:v>93</c:v>
                </c:pt>
                <c:pt idx="2">
                  <c:v>106</c:v>
                </c:pt>
                <c:pt idx="3">
                  <c:v>37</c:v>
                </c:pt>
                <c:pt idx="4">
                  <c:v>99</c:v>
                </c:pt>
                <c:pt idx="5">
                  <c:v>84</c:v>
                </c:pt>
                <c:pt idx="6">
                  <c:v>105</c:v>
                </c:pt>
                <c:pt idx="7">
                  <c:v>111</c:v>
                </c:pt>
                <c:pt idx="8">
                  <c:v>131</c:v>
                </c:pt>
                <c:pt idx="9">
                  <c:v>162</c:v>
                </c:pt>
                <c:pt idx="10">
                  <c:v>98</c:v>
                </c:pt>
                <c:pt idx="11">
                  <c:v>102</c:v>
                </c:pt>
                <c:pt idx="12">
                  <c:v>110</c:v>
                </c:pt>
                <c:pt idx="13">
                  <c:v>123</c:v>
                </c:pt>
                <c:pt idx="14">
                  <c:v>132</c:v>
                </c:pt>
                <c:pt idx="15">
                  <c:v>164</c:v>
                </c:pt>
                <c:pt idx="16">
                  <c:v>126</c:v>
                </c:pt>
                <c:pt idx="17">
                  <c:v>124</c:v>
                </c:pt>
                <c:pt idx="18">
                  <c:v>107</c:v>
                </c:pt>
                <c:pt idx="19">
                  <c:v>107</c:v>
                </c:pt>
                <c:pt idx="20">
                  <c:v>131</c:v>
                </c:pt>
                <c:pt idx="21">
                  <c:v>81</c:v>
                </c:pt>
                <c:pt idx="22">
                  <c:v>95</c:v>
                </c:pt>
                <c:pt idx="23">
                  <c:v>200</c:v>
                </c:pt>
                <c:pt idx="24">
                  <c:v>146</c:v>
                </c:pt>
                <c:pt idx="25">
                  <c:v>110</c:v>
                </c:pt>
                <c:pt idx="26">
                  <c:v>52</c:v>
                </c:pt>
                <c:pt idx="27">
                  <c:v>102</c:v>
                </c:pt>
                <c:pt idx="28">
                  <c:v>121</c:v>
                </c:pt>
                <c:pt idx="29">
                  <c:v>74</c:v>
                </c:pt>
              </c:numCache>
            </c:numRef>
          </c:val>
          <c:extLst>
            <c:ext xmlns:c16="http://schemas.microsoft.com/office/drawing/2014/chart" uri="{C3380CC4-5D6E-409C-BE32-E72D297353CC}">
              <c16:uniqueId val="{00000000-4C2C-4866-A52C-48AFB4B0DD83}"/>
            </c:ext>
          </c:extLst>
        </c:ser>
        <c:dLbls>
          <c:dLblPos val="outEnd"/>
          <c:showLegendKey val="0"/>
          <c:showVal val="1"/>
          <c:showCatName val="0"/>
          <c:showSerName val="0"/>
          <c:showPercent val="0"/>
          <c:showBubbleSize val="0"/>
        </c:dLbls>
        <c:gapWidth val="100"/>
        <c:overlap val="-24"/>
        <c:axId val="1496014848"/>
        <c:axId val="1510653824"/>
      </c:barChart>
      <c:catAx>
        <c:axId val="14960148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0653824"/>
        <c:crosses val="autoZero"/>
        <c:auto val="1"/>
        <c:lblAlgn val="ctr"/>
        <c:lblOffset val="100"/>
        <c:noMultiLvlLbl val="0"/>
      </c:catAx>
      <c:valAx>
        <c:axId val="15106538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6014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Students Grades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'Cyber Security (Level 2)'!$H$41</c:f>
              <c:strCache>
                <c:ptCount val="1"/>
                <c:pt idx="0">
                  <c:v>Distinction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2)'!$I$39:$P$40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2)'!$I$41:$P$41</c:f>
              <c:numCache>
                <c:formatCode>0</c:formatCode>
                <c:ptCount val="8"/>
                <c:pt idx="0">
                  <c:v>8</c:v>
                </c:pt>
                <c:pt idx="1">
                  <c:v>9</c:v>
                </c:pt>
                <c:pt idx="2">
                  <c:v>10</c:v>
                </c:pt>
                <c:pt idx="3">
                  <c:v>8</c:v>
                </c:pt>
                <c:pt idx="4">
                  <c:v>7</c:v>
                </c:pt>
                <c:pt idx="5">
                  <c:v>6</c:v>
                </c:pt>
                <c:pt idx="6">
                  <c:v>11</c:v>
                </c:pt>
                <c:pt idx="7">
                  <c:v>7</c:v>
                </c:pt>
              </c:numCache>
            </c:numRef>
          </c:val>
          <c:extLst>
            <c:ext xmlns:c16="http://schemas.microsoft.com/office/drawing/2014/chart" uri="{C3380CC4-5D6E-409C-BE32-E72D297353CC}">
              <c16:uniqueId val="{00000000-E5D6-4435-A66D-F337C8631878}"/>
            </c:ext>
          </c:extLst>
        </c:ser>
        <c:ser>
          <c:idx val="1"/>
          <c:order val="1"/>
          <c:tx>
            <c:strRef>
              <c:f>'Cyber Security (Level 2)'!$H$42</c:f>
              <c:strCache>
                <c:ptCount val="1"/>
                <c:pt idx="0">
                  <c:v>Merit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2)'!$I$39:$P$40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2)'!$I$42:$P$42</c:f>
              <c:numCache>
                <c:formatCode>0</c:formatCode>
                <c:ptCount val="8"/>
                <c:pt idx="0">
                  <c:v>2</c:v>
                </c:pt>
                <c:pt idx="1">
                  <c:v>4</c:v>
                </c:pt>
                <c:pt idx="2">
                  <c:v>2</c:v>
                </c:pt>
                <c:pt idx="3">
                  <c:v>2</c:v>
                </c:pt>
                <c:pt idx="4">
                  <c:v>6</c:v>
                </c:pt>
                <c:pt idx="5">
                  <c:v>6</c:v>
                </c:pt>
                <c:pt idx="6">
                  <c:v>7</c:v>
                </c:pt>
                <c:pt idx="7">
                  <c:v>6</c:v>
                </c:pt>
              </c:numCache>
            </c:numRef>
          </c:val>
          <c:extLst>
            <c:ext xmlns:c16="http://schemas.microsoft.com/office/drawing/2014/chart" uri="{C3380CC4-5D6E-409C-BE32-E72D297353CC}">
              <c16:uniqueId val="{00000001-E5D6-4435-A66D-F337C8631878}"/>
            </c:ext>
          </c:extLst>
        </c:ser>
        <c:ser>
          <c:idx val="2"/>
          <c:order val="2"/>
          <c:tx>
            <c:strRef>
              <c:f>'Cyber Security (Level 2)'!$H$43</c:f>
              <c:strCache>
                <c:ptCount val="1"/>
                <c:pt idx="0">
                  <c:v>Pass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2)'!$I$39:$P$40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2)'!$I$43:$P$43</c:f>
              <c:numCache>
                <c:formatCode>0</c:formatCode>
                <c:ptCount val="8"/>
                <c:pt idx="0">
                  <c:v>16</c:v>
                </c:pt>
                <c:pt idx="1">
                  <c:v>12</c:v>
                </c:pt>
                <c:pt idx="2">
                  <c:v>11</c:v>
                </c:pt>
                <c:pt idx="3">
                  <c:v>12</c:v>
                </c:pt>
                <c:pt idx="4">
                  <c:v>8</c:v>
                </c:pt>
                <c:pt idx="5">
                  <c:v>13</c:v>
                </c:pt>
                <c:pt idx="6">
                  <c:v>6</c:v>
                </c:pt>
                <c:pt idx="7">
                  <c:v>9</c:v>
                </c:pt>
              </c:numCache>
            </c:numRef>
          </c:val>
          <c:extLst>
            <c:ext xmlns:c16="http://schemas.microsoft.com/office/drawing/2014/chart" uri="{C3380CC4-5D6E-409C-BE32-E72D297353CC}">
              <c16:uniqueId val="{00000002-E5D6-4435-A66D-F337C8631878}"/>
            </c:ext>
          </c:extLst>
        </c:ser>
        <c:ser>
          <c:idx val="3"/>
          <c:order val="3"/>
          <c:tx>
            <c:strRef>
              <c:f>'Cyber Security (Level 2)'!$H$44</c:f>
              <c:strCache>
                <c:ptCount val="1"/>
                <c:pt idx="0">
                  <c:v>No Grade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2)'!$I$39:$P$40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2)'!$I$44:$P$44</c:f>
              <c:numCache>
                <c:formatCode>0</c:formatCode>
                <c:ptCount val="8"/>
                <c:pt idx="0">
                  <c:v>4</c:v>
                </c:pt>
                <c:pt idx="1">
                  <c:v>5</c:v>
                </c:pt>
                <c:pt idx="2">
                  <c:v>7</c:v>
                </c:pt>
                <c:pt idx="3">
                  <c:v>8</c:v>
                </c:pt>
                <c:pt idx="4">
                  <c:v>9</c:v>
                </c:pt>
                <c:pt idx="5">
                  <c:v>5</c:v>
                </c:pt>
                <c:pt idx="6">
                  <c:v>6</c:v>
                </c:pt>
                <c:pt idx="7">
                  <c:v>8</c:v>
                </c:pt>
              </c:numCache>
            </c:numRef>
          </c:val>
          <c:extLst>
            <c:ext xmlns:c16="http://schemas.microsoft.com/office/drawing/2014/chart" uri="{C3380CC4-5D6E-409C-BE32-E72D297353CC}">
              <c16:uniqueId val="{00000003-E5D6-4435-A66D-F337C8631878}"/>
            </c:ext>
          </c:extLst>
        </c:ser>
        <c:dLbls>
          <c:dLblPos val="outEnd"/>
          <c:showLegendKey val="0"/>
          <c:showVal val="1"/>
          <c:showCatName val="0"/>
          <c:showSerName val="0"/>
          <c:showPercent val="0"/>
          <c:showBubbleSize val="0"/>
        </c:dLbls>
        <c:gapWidth val="100"/>
        <c:overlap val="-24"/>
        <c:axId val="1492856848"/>
        <c:axId val="1510650496"/>
      </c:barChart>
      <c:catAx>
        <c:axId val="14928568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10650496"/>
        <c:crosses val="autoZero"/>
        <c:auto val="1"/>
        <c:lblAlgn val="ctr"/>
        <c:lblOffset val="100"/>
        <c:noMultiLvlLbl val="0"/>
      </c:catAx>
      <c:valAx>
        <c:axId val="15106504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4928568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Total Mark (Out of 200)</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'Cyber Security (Level 2)'!$A$6:$A$35</c:f>
              <c:strCache>
                <c:ptCount val="30"/>
                <c:pt idx="0">
                  <c:v>Aja</c:v>
                </c:pt>
                <c:pt idx="1">
                  <c:v>Alton</c:v>
                </c:pt>
                <c:pt idx="2">
                  <c:v>Andera</c:v>
                </c:pt>
                <c:pt idx="3">
                  <c:v>Babara</c:v>
                </c:pt>
                <c:pt idx="4">
                  <c:v>Boyce</c:v>
                </c:pt>
                <c:pt idx="5">
                  <c:v>Brent</c:v>
                </c:pt>
                <c:pt idx="6">
                  <c:v>Cecil</c:v>
                </c:pt>
                <c:pt idx="7">
                  <c:v>Ciara</c:v>
                </c:pt>
                <c:pt idx="8">
                  <c:v>Debbra</c:v>
                </c:pt>
                <c:pt idx="9">
                  <c:v>Drucilla</c:v>
                </c:pt>
                <c:pt idx="10">
                  <c:v>Georgina</c:v>
                </c:pt>
                <c:pt idx="11">
                  <c:v>Gerri</c:v>
                </c:pt>
                <c:pt idx="12">
                  <c:v>Glen</c:v>
                </c:pt>
                <c:pt idx="13">
                  <c:v>Joan</c:v>
                </c:pt>
                <c:pt idx="14">
                  <c:v>Jospeh</c:v>
                </c:pt>
                <c:pt idx="15">
                  <c:v>Keneth</c:v>
                </c:pt>
                <c:pt idx="16">
                  <c:v>Kum</c:v>
                </c:pt>
                <c:pt idx="17">
                  <c:v>Laveta</c:v>
                </c:pt>
                <c:pt idx="18">
                  <c:v>Leif</c:v>
                </c:pt>
                <c:pt idx="19">
                  <c:v>Lilia</c:v>
                </c:pt>
                <c:pt idx="20">
                  <c:v>Marth</c:v>
                </c:pt>
                <c:pt idx="21">
                  <c:v>Meagan</c:v>
                </c:pt>
                <c:pt idx="22">
                  <c:v>Meaghan</c:v>
                </c:pt>
                <c:pt idx="23">
                  <c:v>Merideth</c:v>
                </c:pt>
                <c:pt idx="24">
                  <c:v>Mittie</c:v>
                </c:pt>
                <c:pt idx="25">
                  <c:v>Norene</c:v>
                </c:pt>
                <c:pt idx="26">
                  <c:v>Norine</c:v>
                </c:pt>
                <c:pt idx="27">
                  <c:v>Shirley</c:v>
                </c:pt>
                <c:pt idx="28">
                  <c:v>Starr</c:v>
                </c:pt>
                <c:pt idx="29">
                  <c:v>Velia</c:v>
                </c:pt>
              </c:strCache>
            </c:strRef>
          </c:cat>
          <c:val>
            <c:numRef>
              <c:f>'Cyber Security (Level 2)'!$R$6:$R$35</c:f>
              <c:numCache>
                <c:formatCode>0</c:formatCode>
                <c:ptCount val="30"/>
                <c:pt idx="0">
                  <c:v>52</c:v>
                </c:pt>
                <c:pt idx="1">
                  <c:v>122</c:v>
                </c:pt>
                <c:pt idx="2">
                  <c:v>91</c:v>
                </c:pt>
                <c:pt idx="3">
                  <c:v>101</c:v>
                </c:pt>
                <c:pt idx="4">
                  <c:v>123</c:v>
                </c:pt>
                <c:pt idx="5">
                  <c:v>75</c:v>
                </c:pt>
                <c:pt idx="6">
                  <c:v>20</c:v>
                </c:pt>
                <c:pt idx="7">
                  <c:v>111</c:v>
                </c:pt>
                <c:pt idx="8">
                  <c:v>121</c:v>
                </c:pt>
                <c:pt idx="9">
                  <c:v>129</c:v>
                </c:pt>
                <c:pt idx="10">
                  <c:v>101</c:v>
                </c:pt>
                <c:pt idx="11">
                  <c:v>61</c:v>
                </c:pt>
                <c:pt idx="12">
                  <c:v>84</c:v>
                </c:pt>
                <c:pt idx="13">
                  <c:v>110</c:v>
                </c:pt>
                <c:pt idx="14">
                  <c:v>89</c:v>
                </c:pt>
                <c:pt idx="15">
                  <c:v>137</c:v>
                </c:pt>
                <c:pt idx="16">
                  <c:v>114</c:v>
                </c:pt>
                <c:pt idx="17">
                  <c:v>90</c:v>
                </c:pt>
                <c:pt idx="18">
                  <c:v>200</c:v>
                </c:pt>
                <c:pt idx="19">
                  <c:v>106</c:v>
                </c:pt>
                <c:pt idx="20">
                  <c:v>146</c:v>
                </c:pt>
                <c:pt idx="21">
                  <c:v>92</c:v>
                </c:pt>
                <c:pt idx="22">
                  <c:v>64</c:v>
                </c:pt>
                <c:pt idx="23">
                  <c:v>75</c:v>
                </c:pt>
                <c:pt idx="24">
                  <c:v>68</c:v>
                </c:pt>
                <c:pt idx="25">
                  <c:v>72</c:v>
                </c:pt>
                <c:pt idx="26">
                  <c:v>95</c:v>
                </c:pt>
                <c:pt idx="27">
                  <c:v>54</c:v>
                </c:pt>
                <c:pt idx="28">
                  <c:v>200</c:v>
                </c:pt>
                <c:pt idx="29">
                  <c:v>147</c:v>
                </c:pt>
              </c:numCache>
            </c:numRef>
          </c:val>
          <c:extLst>
            <c:ext xmlns:c16="http://schemas.microsoft.com/office/drawing/2014/chart" uri="{C3380CC4-5D6E-409C-BE32-E72D297353CC}">
              <c16:uniqueId val="{00000000-C35F-4613-97C3-97FBED1AC445}"/>
            </c:ext>
          </c:extLst>
        </c:ser>
        <c:dLbls>
          <c:dLblPos val="outEnd"/>
          <c:showLegendKey val="0"/>
          <c:showVal val="1"/>
          <c:showCatName val="0"/>
          <c:showSerName val="0"/>
          <c:showPercent val="0"/>
          <c:showBubbleSize val="0"/>
        </c:dLbls>
        <c:gapWidth val="100"/>
        <c:overlap val="-24"/>
        <c:axId val="1519511472"/>
        <c:axId val="1510649248"/>
      </c:barChart>
      <c:catAx>
        <c:axId val="15195114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10649248"/>
        <c:crosses val="autoZero"/>
        <c:auto val="1"/>
        <c:lblAlgn val="ctr"/>
        <c:lblOffset val="100"/>
        <c:noMultiLvlLbl val="0"/>
      </c:catAx>
      <c:valAx>
        <c:axId val="15106492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19511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Students Grades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'Cyber Security (Level 3)'!$H$41</c:f>
              <c:strCache>
                <c:ptCount val="1"/>
                <c:pt idx="0">
                  <c:v>Distinction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3)'!$I$39:$P$40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3)'!$I$41:$P$41</c:f>
              <c:numCache>
                <c:formatCode>0</c:formatCode>
                <c:ptCount val="8"/>
                <c:pt idx="0">
                  <c:v>4</c:v>
                </c:pt>
                <c:pt idx="1">
                  <c:v>7</c:v>
                </c:pt>
                <c:pt idx="2">
                  <c:v>4</c:v>
                </c:pt>
                <c:pt idx="3">
                  <c:v>8</c:v>
                </c:pt>
                <c:pt idx="4">
                  <c:v>8</c:v>
                </c:pt>
                <c:pt idx="5">
                  <c:v>7</c:v>
                </c:pt>
                <c:pt idx="6">
                  <c:v>4</c:v>
                </c:pt>
                <c:pt idx="7">
                  <c:v>5</c:v>
                </c:pt>
              </c:numCache>
            </c:numRef>
          </c:val>
          <c:extLst>
            <c:ext xmlns:c16="http://schemas.microsoft.com/office/drawing/2014/chart" uri="{C3380CC4-5D6E-409C-BE32-E72D297353CC}">
              <c16:uniqueId val="{00000000-F091-4D63-B66F-9B97FA985E78}"/>
            </c:ext>
          </c:extLst>
        </c:ser>
        <c:ser>
          <c:idx val="1"/>
          <c:order val="1"/>
          <c:tx>
            <c:strRef>
              <c:f>'Cyber Security (Level 3)'!$H$42</c:f>
              <c:strCache>
                <c:ptCount val="1"/>
                <c:pt idx="0">
                  <c:v>Merit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3)'!$I$39:$P$40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3)'!$I$42:$P$42</c:f>
              <c:numCache>
                <c:formatCode>0</c:formatCode>
                <c:ptCount val="8"/>
                <c:pt idx="0">
                  <c:v>3</c:v>
                </c:pt>
                <c:pt idx="1">
                  <c:v>10</c:v>
                </c:pt>
                <c:pt idx="2">
                  <c:v>7</c:v>
                </c:pt>
                <c:pt idx="3">
                  <c:v>2</c:v>
                </c:pt>
                <c:pt idx="4">
                  <c:v>8</c:v>
                </c:pt>
                <c:pt idx="5">
                  <c:v>5</c:v>
                </c:pt>
                <c:pt idx="6">
                  <c:v>10</c:v>
                </c:pt>
                <c:pt idx="7">
                  <c:v>5</c:v>
                </c:pt>
              </c:numCache>
            </c:numRef>
          </c:val>
          <c:extLst>
            <c:ext xmlns:c16="http://schemas.microsoft.com/office/drawing/2014/chart" uri="{C3380CC4-5D6E-409C-BE32-E72D297353CC}">
              <c16:uniqueId val="{00000001-F091-4D63-B66F-9B97FA985E78}"/>
            </c:ext>
          </c:extLst>
        </c:ser>
        <c:ser>
          <c:idx val="2"/>
          <c:order val="2"/>
          <c:tx>
            <c:strRef>
              <c:f>'Cyber Security (Level 3)'!$H$43</c:f>
              <c:strCache>
                <c:ptCount val="1"/>
                <c:pt idx="0">
                  <c:v>Pass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3)'!$I$39:$P$40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3)'!$I$43:$P$43</c:f>
              <c:numCache>
                <c:formatCode>0</c:formatCode>
                <c:ptCount val="8"/>
                <c:pt idx="0">
                  <c:v>18</c:v>
                </c:pt>
                <c:pt idx="1">
                  <c:v>7</c:v>
                </c:pt>
                <c:pt idx="2">
                  <c:v>14</c:v>
                </c:pt>
                <c:pt idx="3">
                  <c:v>16</c:v>
                </c:pt>
                <c:pt idx="4">
                  <c:v>8</c:v>
                </c:pt>
                <c:pt idx="5">
                  <c:v>15</c:v>
                </c:pt>
                <c:pt idx="6">
                  <c:v>11</c:v>
                </c:pt>
                <c:pt idx="7">
                  <c:v>15</c:v>
                </c:pt>
              </c:numCache>
            </c:numRef>
          </c:val>
          <c:extLst>
            <c:ext xmlns:c16="http://schemas.microsoft.com/office/drawing/2014/chart" uri="{C3380CC4-5D6E-409C-BE32-E72D297353CC}">
              <c16:uniqueId val="{00000002-F091-4D63-B66F-9B97FA985E78}"/>
            </c:ext>
          </c:extLst>
        </c:ser>
        <c:ser>
          <c:idx val="3"/>
          <c:order val="3"/>
          <c:tx>
            <c:strRef>
              <c:f>'Cyber Security (Level 3)'!$H$44</c:f>
              <c:strCache>
                <c:ptCount val="1"/>
                <c:pt idx="0">
                  <c:v>No Grade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'Cyber Security (Level 3)'!$I$39:$P$40</c:f>
              <c:multiLvlStrCache>
                <c:ptCount val="8"/>
                <c:lvl>
                  <c:pt idx="0">
                    <c:v>1st</c:v>
                  </c:pt>
                  <c:pt idx="1">
                    <c:v>2nd</c:v>
                  </c:pt>
                  <c:pt idx="2">
                    <c:v>3rd</c:v>
                  </c:pt>
                  <c:pt idx="3">
                    <c:v>4th</c:v>
                  </c:pt>
                  <c:pt idx="4">
                    <c:v>1st</c:v>
                  </c:pt>
                  <c:pt idx="5">
                    <c:v>2nd</c:v>
                  </c:pt>
                  <c:pt idx="6">
                    <c:v>3rd</c:v>
                  </c:pt>
                  <c:pt idx="7">
                    <c:v>4th</c:v>
                  </c:pt>
                </c:lvl>
                <c:lvl>
                  <c:pt idx="0">
                    <c:v>Modular Exams</c:v>
                  </c:pt>
                  <c:pt idx="4">
                    <c:v>Mock Exams</c:v>
                  </c:pt>
                </c:lvl>
              </c:multiLvlStrCache>
            </c:multiLvlStrRef>
          </c:cat>
          <c:val>
            <c:numRef>
              <c:f>'Cyber Security (Level 3)'!$I$44:$P$44</c:f>
              <c:numCache>
                <c:formatCode>0</c:formatCode>
                <c:ptCount val="8"/>
                <c:pt idx="0">
                  <c:v>5</c:v>
                </c:pt>
                <c:pt idx="1">
                  <c:v>6</c:v>
                </c:pt>
                <c:pt idx="2">
                  <c:v>5</c:v>
                </c:pt>
                <c:pt idx="3">
                  <c:v>4</c:v>
                </c:pt>
                <c:pt idx="4">
                  <c:v>6</c:v>
                </c:pt>
                <c:pt idx="5">
                  <c:v>3</c:v>
                </c:pt>
                <c:pt idx="6">
                  <c:v>5</c:v>
                </c:pt>
                <c:pt idx="7">
                  <c:v>5</c:v>
                </c:pt>
              </c:numCache>
            </c:numRef>
          </c:val>
          <c:extLst>
            <c:ext xmlns:c16="http://schemas.microsoft.com/office/drawing/2014/chart" uri="{C3380CC4-5D6E-409C-BE32-E72D297353CC}">
              <c16:uniqueId val="{00000003-F091-4D63-B66F-9B97FA985E78}"/>
            </c:ext>
          </c:extLst>
        </c:ser>
        <c:dLbls>
          <c:dLblPos val="outEnd"/>
          <c:showLegendKey val="0"/>
          <c:showVal val="1"/>
          <c:showCatName val="0"/>
          <c:showSerName val="0"/>
          <c:showPercent val="0"/>
          <c:showBubbleSize val="0"/>
        </c:dLbls>
        <c:gapWidth val="100"/>
        <c:overlap val="-24"/>
        <c:axId val="1516935728"/>
        <c:axId val="1510651744"/>
      </c:barChart>
      <c:catAx>
        <c:axId val="151693572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10651744"/>
        <c:crosses val="autoZero"/>
        <c:auto val="1"/>
        <c:lblAlgn val="ctr"/>
        <c:lblOffset val="100"/>
        <c:noMultiLvlLbl val="0"/>
      </c:catAx>
      <c:valAx>
        <c:axId val="15106517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169357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a:t>Total Mark (Out of 200)</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'Cyber Security (Level 3)'!$A$6:$A$35</c:f>
              <c:strCache>
                <c:ptCount val="30"/>
                <c:pt idx="0">
                  <c:v>Annabel</c:v>
                </c:pt>
                <c:pt idx="1">
                  <c:v>Aurea</c:v>
                </c:pt>
                <c:pt idx="2">
                  <c:v>Barabara</c:v>
                </c:pt>
                <c:pt idx="3">
                  <c:v>Carie</c:v>
                </c:pt>
                <c:pt idx="4">
                  <c:v>Catherin</c:v>
                </c:pt>
                <c:pt idx="5">
                  <c:v>Chanel</c:v>
                </c:pt>
                <c:pt idx="6">
                  <c:v>Clare</c:v>
                </c:pt>
                <c:pt idx="7">
                  <c:v>Clarisa</c:v>
                </c:pt>
                <c:pt idx="8">
                  <c:v>Daine</c:v>
                </c:pt>
                <c:pt idx="9">
                  <c:v>Dante</c:v>
                </c:pt>
                <c:pt idx="10">
                  <c:v>Erlene</c:v>
                </c:pt>
                <c:pt idx="11">
                  <c:v>Flavia</c:v>
                </c:pt>
                <c:pt idx="12">
                  <c:v>Fumiko</c:v>
                </c:pt>
                <c:pt idx="13">
                  <c:v>Gilda</c:v>
                </c:pt>
                <c:pt idx="14">
                  <c:v>Ivory</c:v>
                </c:pt>
                <c:pt idx="15">
                  <c:v>Julio</c:v>
                </c:pt>
                <c:pt idx="16">
                  <c:v>Kenton</c:v>
                </c:pt>
                <c:pt idx="17">
                  <c:v>Lavera</c:v>
                </c:pt>
                <c:pt idx="18">
                  <c:v>Leoma</c:v>
                </c:pt>
                <c:pt idx="19">
                  <c:v>Marget</c:v>
                </c:pt>
                <c:pt idx="20">
                  <c:v>Mica</c:v>
                </c:pt>
                <c:pt idx="21">
                  <c:v>Neta</c:v>
                </c:pt>
                <c:pt idx="22">
                  <c:v>Oliver</c:v>
                </c:pt>
                <c:pt idx="23">
                  <c:v>Porsha</c:v>
                </c:pt>
                <c:pt idx="24">
                  <c:v>Rogelio</c:v>
                </c:pt>
                <c:pt idx="25">
                  <c:v>Roselia</c:v>
                </c:pt>
                <c:pt idx="26">
                  <c:v>Sheila</c:v>
                </c:pt>
                <c:pt idx="27">
                  <c:v>Susan</c:v>
                </c:pt>
                <c:pt idx="28">
                  <c:v>Vernita</c:v>
                </c:pt>
                <c:pt idx="29">
                  <c:v>Vikki</c:v>
                </c:pt>
              </c:strCache>
            </c:strRef>
          </c:cat>
          <c:val>
            <c:numRef>
              <c:f>'Cyber Security (Level 3)'!$R$6:$R$35</c:f>
              <c:numCache>
                <c:formatCode>0</c:formatCode>
                <c:ptCount val="30"/>
                <c:pt idx="0">
                  <c:v>62</c:v>
                </c:pt>
                <c:pt idx="1">
                  <c:v>101</c:v>
                </c:pt>
                <c:pt idx="2">
                  <c:v>128</c:v>
                </c:pt>
                <c:pt idx="3">
                  <c:v>112</c:v>
                </c:pt>
                <c:pt idx="4">
                  <c:v>61</c:v>
                </c:pt>
                <c:pt idx="5">
                  <c:v>82</c:v>
                </c:pt>
                <c:pt idx="6">
                  <c:v>101</c:v>
                </c:pt>
                <c:pt idx="7">
                  <c:v>116</c:v>
                </c:pt>
                <c:pt idx="8">
                  <c:v>105</c:v>
                </c:pt>
                <c:pt idx="9">
                  <c:v>200</c:v>
                </c:pt>
                <c:pt idx="10">
                  <c:v>84</c:v>
                </c:pt>
                <c:pt idx="11">
                  <c:v>109</c:v>
                </c:pt>
                <c:pt idx="12">
                  <c:v>119</c:v>
                </c:pt>
                <c:pt idx="13">
                  <c:v>133</c:v>
                </c:pt>
                <c:pt idx="14">
                  <c:v>67</c:v>
                </c:pt>
                <c:pt idx="15">
                  <c:v>114</c:v>
                </c:pt>
                <c:pt idx="16">
                  <c:v>106</c:v>
                </c:pt>
                <c:pt idx="17">
                  <c:v>95</c:v>
                </c:pt>
                <c:pt idx="18">
                  <c:v>65</c:v>
                </c:pt>
                <c:pt idx="19">
                  <c:v>116</c:v>
                </c:pt>
                <c:pt idx="20">
                  <c:v>97</c:v>
                </c:pt>
                <c:pt idx="21">
                  <c:v>99</c:v>
                </c:pt>
                <c:pt idx="22">
                  <c:v>94</c:v>
                </c:pt>
                <c:pt idx="23">
                  <c:v>96</c:v>
                </c:pt>
                <c:pt idx="24">
                  <c:v>139</c:v>
                </c:pt>
                <c:pt idx="25">
                  <c:v>90</c:v>
                </c:pt>
                <c:pt idx="26">
                  <c:v>118</c:v>
                </c:pt>
                <c:pt idx="27">
                  <c:v>51</c:v>
                </c:pt>
                <c:pt idx="28">
                  <c:v>116</c:v>
                </c:pt>
                <c:pt idx="29">
                  <c:v>69</c:v>
                </c:pt>
              </c:numCache>
            </c:numRef>
          </c:val>
          <c:extLst>
            <c:ext xmlns:c16="http://schemas.microsoft.com/office/drawing/2014/chart" uri="{C3380CC4-5D6E-409C-BE32-E72D297353CC}">
              <c16:uniqueId val="{00000000-8256-47C9-B808-E956B38B5C4F}"/>
            </c:ext>
          </c:extLst>
        </c:ser>
        <c:dLbls>
          <c:dLblPos val="outEnd"/>
          <c:showLegendKey val="0"/>
          <c:showVal val="1"/>
          <c:showCatName val="0"/>
          <c:showSerName val="0"/>
          <c:showPercent val="0"/>
          <c:showBubbleSize val="0"/>
        </c:dLbls>
        <c:gapWidth val="100"/>
        <c:overlap val="-24"/>
        <c:axId val="1500654528"/>
        <c:axId val="1510661728"/>
      </c:barChart>
      <c:catAx>
        <c:axId val="150065452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0661728"/>
        <c:crosses val="autoZero"/>
        <c:auto val="1"/>
        <c:lblAlgn val="ctr"/>
        <c:lblOffset val="100"/>
        <c:noMultiLvlLbl val="0"/>
      </c:catAx>
      <c:valAx>
        <c:axId val="15106617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065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32404</xdr:colOff>
      <xdr:row>6</xdr:row>
      <xdr:rowOff>11657</xdr:rowOff>
    </xdr:from>
    <xdr:to>
      <xdr:col>5</xdr:col>
      <xdr:colOff>602877</xdr:colOff>
      <xdr:row>8</xdr:row>
      <xdr:rowOff>164057</xdr:rowOff>
    </xdr:to>
    <xdr:sp macro="[0]!Macro7" textlink="">
      <xdr:nvSpPr>
        <xdr:cNvPr id="4" name="Rectangle: Diagonal Corners Rounded 3">
          <a:extLst>
            <a:ext uri="{FF2B5EF4-FFF2-40B4-BE49-F238E27FC236}">
              <a16:creationId xmlns:a16="http://schemas.microsoft.com/office/drawing/2014/main" id="{00000000-0008-0000-0000-000004000000}"/>
            </a:ext>
          </a:extLst>
        </xdr:cNvPr>
        <xdr:cNvSpPr/>
      </xdr:nvSpPr>
      <xdr:spPr>
        <a:xfrm>
          <a:off x="1242639" y="1154657"/>
          <a:ext cx="2385826" cy="533400"/>
        </a:xfrm>
        <a:prstGeom prst="round2DiagRect">
          <a:avLst/>
        </a:prstGeom>
        <a:solidFill>
          <a:srgbClr val="00FFFF"/>
        </a:solidFill>
        <a:ln cap="rnd" cmpd="tri"/>
        <a:effectLst>
          <a:outerShdw blurRad="127000" dist="114300" dir="5520000" sx="95000" sy="95000" algn="ctr" rotWithShape="0">
            <a:schemeClr val="accent6">
              <a:lumMod val="50000"/>
              <a:alpha val="52000"/>
            </a:schemeClr>
          </a:outerShdw>
        </a:effectLst>
        <a:scene3d>
          <a:camera prst="orthographicFront"/>
          <a:lightRig rig="threePt" dir="t"/>
        </a:scene3d>
        <a:sp3d>
          <a:bevelT w="19050" h="1143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solidFill>
                <a:schemeClr val="tx1"/>
              </a:solidFill>
            </a:rPr>
            <a:t>Student search</a:t>
          </a:r>
          <a:endParaRPr lang="en-US" sz="1400">
            <a:solidFill>
              <a:schemeClr val="tx1"/>
            </a:solidFill>
          </a:endParaRPr>
        </a:p>
      </xdr:txBody>
    </xdr:sp>
    <xdr:clientData/>
  </xdr:twoCellAnchor>
  <xdr:twoCellAnchor>
    <xdr:from>
      <xdr:col>2</xdr:col>
      <xdr:colOff>20171</xdr:colOff>
      <xdr:row>13</xdr:row>
      <xdr:rowOff>159124</xdr:rowOff>
    </xdr:from>
    <xdr:to>
      <xdr:col>5</xdr:col>
      <xdr:colOff>584948</xdr:colOff>
      <xdr:row>16</xdr:row>
      <xdr:rowOff>132230</xdr:rowOff>
    </xdr:to>
    <xdr:sp macro="[0]!Macro9" textlink="">
      <xdr:nvSpPr>
        <xdr:cNvPr id="10" name="Rectangle: Diagonal Corners Rounded 9">
          <a:extLst>
            <a:ext uri="{FF2B5EF4-FFF2-40B4-BE49-F238E27FC236}">
              <a16:creationId xmlns:a16="http://schemas.microsoft.com/office/drawing/2014/main" id="{00000000-0008-0000-0000-00000A000000}"/>
            </a:ext>
          </a:extLst>
        </xdr:cNvPr>
        <xdr:cNvSpPr/>
      </xdr:nvSpPr>
      <xdr:spPr>
        <a:xfrm>
          <a:off x="1230406" y="2635624"/>
          <a:ext cx="2380130" cy="544606"/>
        </a:xfrm>
        <a:prstGeom prst="round2DiagRect">
          <a:avLst/>
        </a:prstGeom>
        <a:solidFill>
          <a:srgbClr val="00FFFF"/>
        </a:solidFill>
        <a:ln cap="rnd" cmpd="tri"/>
        <a:effectLst>
          <a:outerShdw blurRad="127000" dist="114300" dir="5520000" sx="95000" sy="95000" algn="ctr" rotWithShape="0">
            <a:srgbClr val="C00000">
              <a:alpha val="52000"/>
            </a:srgbClr>
          </a:outerShdw>
        </a:effectLst>
        <a:scene3d>
          <a:camera prst="orthographicFront"/>
          <a:lightRig rig="threePt" dir="t"/>
        </a:scene3d>
        <a:sp3d>
          <a:bevelT w="19050" h="1143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aseline="0">
              <a:solidFill>
                <a:schemeClr val="tx1"/>
              </a:solidFill>
              <a:effectLst/>
              <a:latin typeface="+mn-lt"/>
              <a:ea typeface="+mn-ea"/>
              <a:cs typeface="+mn-cs"/>
            </a:rPr>
            <a:t>Cyber Security (Level 2)</a:t>
          </a:r>
          <a:endParaRPr lang="en-US" sz="1400">
            <a:solidFill>
              <a:schemeClr val="tx1"/>
            </a:solidFill>
            <a:effectLst/>
          </a:endParaRPr>
        </a:p>
      </xdr:txBody>
    </xdr:sp>
    <xdr:clientData/>
  </xdr:twoCellAnchor>
  <xdr:twoCellAnchor>
    <xdr:from>
      <xdr:col>2</xdr:col>
      <xdr:colOff>6724</xdr:colOff>
      <xdr:row>21</xdr:row>
      <xdr:rowOff>150159</xdr:rowOff>
    </xdr:from>
    <xdr:to>
      <xdr:col>5</xdr:col>
      <xdr:colOff>584948</xdr:colOff>
      <xdr:row>24</xdr:row>
      <xdr:rowOff>123265</xdr:rowOff>
    </xdr:to>
    <xdr:sp macro="[0]!Macro27" textlink="">
      <xdr:nvSpPr>
        <xdr:cNvPr id="13" name="Rectangle: Diagonal Corners Rounded 12">
          <a:extLst>
            <a:ext uri="{FF2B5EF4-FFF2-40B4-BE49-F238E27FC236}">
              <a16:creationId xmlns:a16="http://schemas.microsoft.com/office/drawing/2014/main" id="{00000000-0008-0000-0000-00000D000000}"/>
            </a:ext>
          </a:extLst>
        </xdr:cNvPr>
        <xdr:cNvSpPr/>
      </xdr:nvSpPr>
      <xdr:spPr>
        <a:xfrm>
          <a:off x="1216959" y="4150659"/>
          <a:ext cx="2393577" cy="544606"/>
        </a:xfrm>
        <a:prstGeom prst="round2DiagRect">
          <a:avLst/>
        </a:prstGeom>
        <a:solidFill>
          <a:srgbClr val="00FFFF"/>
        </a:solidFill>
        <a:ln cap="rnd" cmpd="tri"/>
        <a:effectLst>
          <a:outerShdw blurRad="127000" dist="114300" dir="5520000" sx="95000" sy="95000" algn="ctr" rotWithShape="0">
            <a:schemeClr val="accent4">
              <a:lumMod val="75000"/>
              <a:alpha val="52000"/>
            </a:schemeClr>
          </a:outerShdw>
        </a:effectLst>
        <a:scene3d>
          <a:camera prst="orthographicFront"/>
          <a:lightRig rig="threePt" dir="t"/>
        </a:scene3d>
        <a:sp3d>
          <a:bevelT w="19050" h="1143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tx1"/>
              </a:solidFill>
            </a:rPr>
            <a:t>Analysis sheet</a:t>
          </a:r>
        </a:p>
      </xdr:txBody>
    </xdr:sp>
    <xdr:clientData/>
  </xdr:twoCellAnchor>
  <xdr:twoCellAnchor>
    <xdr:from>
      <xdr:col>2</xdr:col>
      <xdr:colOff>38101</xdr:colOff>
      <xdr:row>9</xdr:row>
      <xdr:rowOff>188260</xdr:rowOff>
    </xdr:from>
    <xdr:to>
      <xdr:col>5</xdr:col>
      <xdr:colOff>593913</xdr:colOff>
      <xdr:row>12</xdr:row>
      <xdr:rowOff>150159</xdr:rowOff>
    </xdr:to>
    <xdr:sp macro="[0]!Macro8" textlink="">
      <xdr:nvSpPr>
        <xdr:cNvPr id="14" name="Rectangle: Diagonal Corners Rounded 13">
          <a:extLst>
            <a:ext uri="{FF2B5EF4-FFF2-40B4-BE49-F238E27FC236}">
              <a16:creationId xmlns:a16="http://schemas.microsoft.com/office/drawing/2014/main" id="{00000000-0008-0000-0000-00000E000000}"/>
            </a:ext>
          </a:extLst>
        </xdr:cNvPr>
        <xdr:cNvSpPr/>
      </xdr:nvSpPr>
      <xdr:spPr>
        <a:xfrm>
          <a:off x="1248336" y="1902760"/>
          <a:ext cx="2371165" cy="533399"/>
        </a:xfrm>
        <a:prstGeom prst="round2DiagRect">
          <a:avLst/>
        </a:prstGeom>
        <a:solidFill>
          <a:srgbClr val="00FFFF"/>
        </a:solidFill>
        <a:ln cap="rnd" cmpd="tri"/>
        <a:effectLst>
          <a:outerShdw blurRad="127000" dist="114300" dir="5520000" sx="95000" sy="95000" algn="ctr" rotWithShape="0">
            <a:srgbClr val="7030A0">
              <a:alpha val="52000"/>
            </a:srgbClr>
          </a:outerShdw>
        </a:effectLst>
        <a:scene3d>
          <a:camera prst="orthographicFront"/>
          <a:lightRig rig="threePt" dir="t"/>
        </a:scene3d>
        <a:sp3d>
          <a:bevelT w="19050" h="1143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solidFill>
                <a:schemeClr val="tx1"/>
              </a:solidFill>
            </a:rPr>
            <a:t>Cyber Security (Level 1)</a:t>
          </a:r>
          <a:endParaRPr lang="en-US" sz="1400">
            <a:solidFill>
              <a:schemeClr val="tx1"/>
            </a:solidFill>
          </a:endParaRPr>
        </a:p>
      </xdr:txBody>
    </xdr:sp>
    <xdr:clientData/>
  </xdr:twoCellAnchor>
  <xdr:twoCellAnchor>
    <xdr:from>
      <xdr:col>2</xdr:col>
      <xdr:colOff>11207</xdr:colOff>
      <xdr:row>17</xdr:row>
      <xdr:rowOff>159123</xdr:rowOff>
    </xdr:from>
    <xdr:to>
      <xdr:col>5</xdr:col>
      <xdr:colOff>584948</xdr:colOff>
      <xdr:row>20</xdr:row>
      <xdr:rowOff>132229</xdr:rowOff>
    </xdr:to>
    <xdr:sp macro="[0]!Macro10" textlink="">
      <xdr:nvSpPr>
        <xdr:cNvPr id="15" name="Rectangle: Diagonal Corners Rounded 14">
          <a:extLst>
            <a:ext uri="{FF2B5EF4-FFF2-40B4-BE49-F238E27FC236}">
              <a16:creationId xmlns:a16="http://schemas.microsoft.com/office/drawing/2014/main" id="{00000000-0008-0000-0000-00000F000000}"/>
            </a:ext>
          </a:extLst>
        </xdr:cNvPr>
        <xdr:cNvSpPr/>
      </xdr:nvSpPr>
      <xdr:spPr>
        <a:xfrm>
          <a:off x="1221442" y="3397623"/>
          <a:ext cx="2389094" cy="544606"/>
        </a:xfrm>
        <a:prstGeom prst="round2DiagRect">
          <a:avLst/>
        </a:prstGeom>
        <a:solidFill>
          <a:srgbClr val="00FFFF"/>
        </a:solidFill>
        <a:ln cap="rnd" cmpd="tri"/>
        <a:effectLst>
          <a:outerShdw blurRad="127000" dist="114300" dir="5520000" sx="95000" sy="95000" algn="ctr" rotWithShape="0">
            <a:schemeClr val="accent1">
              <a:lumMod val="75000"/>
              <a:alpha val="52000"/>
            </a:schemeClr>
          </a:outerShdw>
        </a:effectLst>
        <a:scene3d>
          <a:camera prst="orthographicFront"/>
          <a:lightRig rig="threePt" dir="t"/>
        </a:scene3d>
        <a:sp3d>
          <a:bevelT w="19050" h="1143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aseline="0">
              <a:solidFill>
                <a:schemeClr val="tx1"/>
              </a:solidFill>
              <a:effectLst/>
              <a:latin typeface="+mn-lt"/>
              <a:ea typeface="+mn-ea"/>
              <a:cs typeface="+mn-cs"/>
            </a:rPr>
            <a:t>Cyber Security (Level 3)</a:t>
          </a:r>
          <a:endParaRPr lang="en-US" sz="1400">
            <a:solidFill>
              <a:schemeClr val="tx1"/>
            </a:solidFill>
            <a:effectLst/>
          </a:endParaRPr>
        </a:p>
        <a:p>
          <a:pPr algn="l"/>
          <a:endParaRPr lang="en-US" sz="1400">
            <a:solidFill>
              <a:schemeClr val="tx1"/>
            </a:solidFill>
          </a:endParaRPr>
        </a:p>
      </xdr:txBody>
    </xdr:sp>
    <xdr:clientData/>
  </xdr:twoCellAnchor>
  <xdr:twoCellAnchor>
    <xdr:from>
      <xdr:col>1</xdr:col>
      <xdr:colOff>593912</xdr:colOff>
      <xdr:row>25</xdr:row>
      <xdr:rowOff>112059</xdr:rowOff>
    </xdr:from>
    <xdr:to>
      <xdr:col>5</xdr:col>
      <xdr:colOff>605117</xdr:colOff>
      <xdr:row>28</xdr:row>
      <xdr:rowOff>100853</xdr:rowOff>
    </xdr:to>
    <xdr:sp macro="[0]!Macro34" textlink="">
      <xdr:nvSpPr>
        <xdr:cNvPr id="2" name="Round Diagonal Corner Rectangle 1">
          <a:extLst>
            <a:ext uri="{FF2B5EF4-FFF2-40B4-BE49-F238E27FC236}">
              <a16:creationId xmlns:a16="http://schemas.microsoft.com/office/drawing/2014/main" id="{00000000-0008-0000-0000-000002000000}"/>
            </a:ext>
          </a:extLst>
        </xdr:cNvPr>
        <xdr:cNvSpPr/>
      </xdr:nvSpPr>
      <xdr:spPr>
        <a:xfrm>
          <a:off x="1199030" y="4874559"/>
          <a:ext cx="2431675" cy="560294"/>
        </a:xfrm>
        <a:prstGeom prst="round2DiagRect">
          <a:avLst/>
        </a:prstGeom>
        <a:solidFill>
          <a:srgbClr val="00FFFF"/>
        </a:solidFill>
        <a:ln cap="rnd" cmpd="tri"/>
        <a:effectLst>
          <a:outerShdw blurRad="127000" dist="114300" dir="5520000" sx="95000" sy="95000" algn="ctr" rotWithShape="0">
            <a:schemeClr val="accent6">
              <a:lumMod val="50000"/>
              <a:alpha val="52000"/>
            </a:schemeClr>
          </a:outerShdw>
        </a:effectLst>
        <a:scene3d>
          <a:camera prst="orthographicFront"/>
          <a:lightRig rig="threePt" dir="t"/>
        </a:scene3d>
        <a:sp3d>
          <a:bevelT w="19050" h="1143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400" baseline="0">
              <a:solidFill>
                <a:schemeClr val="tx1"/>
              </a:solidFill>
              <a:latin typeface="+mn-lt"/>
              <a:ea typeface="+mn-ea"/>
              <a:cs typeface="+mn-cs"/>
            </a:rPr>
            <a:t>Graphs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326572</xdr:colOff>
      <xdr:row>3</xdr:row>
      <xdr:rowOff>67807</xdr:rowOff>
    </xdr:from>
    <xdr:to>
      <xdr:col>19</xdr:col>
      <xdr:colOff>413658</xdr:colOff>
      <xdr:row>5</xdr:row>
      <xdr:rowOff>97971</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825343" y="622978"/>
          <a:ext cx="6063344" cy="400279"/>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chemeClr val="bg1"/>
              </a:solidFill>
            </a:rPr>
            <a:t>Input student name to bring up relevant information</a:t>
          </a:r>
        </a:p>
      </xdr:txBody>
    </xdr:sp>
    <xdr:clientData/>
  </xdr:twoCellAnchor>
  <xdr:twoCellAnchor>
    <xdr:from>
      <xdr:col>1</xdr:col>
      <xdr:colOff>36784</xdr:colOff>
      <xdr:row>46</xdr:row>
      <xdr:rowOff>157163</xdr:rowOff>
    </xdr:from>
    <xdr:to>
      <xdr:col>2</xdr:col>
      <xdr:colOff>228599</xdr:colOff>
      <xdr:row>50</xdr:row>
      <xdr:rowOff>73571</xdr:rowOff>
    </xdr:to>
    <xdr:sp macro="" textlink="">
      <xdr:nvSpPr>
        <xdr:cNvPr id="2" name="Arrow: Left 1">
          <a:extLst>
            <a:ext uri="{FF2B5EF4-FFF2-40B4-BE49-F238E27FC236}">
              <a16:creationId xmlns:a16="http://schemas.microsoft.com/office/drawing/2014/main" id="{00000000-0008-0000-0100-000002000000}"/>
            </a:ext>
          </a:extLst>
        </xdr:cNvPr>
        <xdr:cNvSpPr/>
      </xdr:nvSpPr>
      <xdr:spPr>
        <a:xfrm>
          <a:off x="36784" y="7881938"/>
          <a:ext cx="801415" cy="649833"/>
        </a:xfrm>
        <a:prstGeom prst="leftArrow">
          <a:avLst/>
        </a:prstGeom>
        <a:solidFill>
          <a:schemeClr val="bg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Back</a:t>
          </a:r>
        </a:p>
      </xdr:txBody>
    </xdr:sp>
    <xdr:clientData/>
  </xdr:twoCellAnchor>
  <xdr:twoCellAnchor>
    <xdr:from>
      <xdr:col>2</xdr:col>
      <xdr:colOff>316342</xdr:colOff>
      <xdr:row>47</xdr:row>
      <xdr:rowOff>138605</xdr:rowOff>
    </xdr:from>
    <xdr:to>
      <xdr:col>3</xdr:col>
      <xdr:colOff>430971</xdr:colOff>
      <xdr:row>49</xdr:row>
      <xdr:rowOff>90487</xdr:rowOff>
    </xdr:to>
    <xdr:sp macro="[0]!Macro11" textlink="">
      <xdr:nvSpPr>
        <xdr:cNvPr id="4" name="Rectangle 3">
          <a:extLst>
            <a:ext uri="{FF2B5EF4-FFF2-40B4-BE49-F238E27FC236}">
              <a16:creationId xmlns:a16="http://schemas.microsoft.com/office/drawing/2014/main" id="{00000000-0008-0000-0100-000004000000}"/>
            </a:ext>
          </a:extLst>
        </xdr:cNvPr>
        <xdr:cNvSpPr/>
      </xdr:nvSpPr>
      <xdr:spPr>
        <a:xfrm>
          <a:off x="925942" y="8044355"/>
          <a:ext cx="724229" cy="3233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Menu</a:t>
          </a:r>
        </a:p>
      </xdr:txBody>
    </xdr:sp>
    <xdr:clientData/>
  </xdr:twoCellAnchor>
  <xdr:twoCellAnchor>
    <xdr:from>
      <xdr:col>3</xdr:col>
      <xdr:colOff>496195</xdr:colOff>
      <xdr:row>46</xdr:row>
      <xdr:rowOff>161026</xdr:rowOff>
    </xdr:from>
    <xdr:to>
      <xdr:col>4</xdr:col>
      <xdr:colOff>690562</xdr:colOff>
      <xdr:row>50</xdr:row>
      <xdr:rowOff>65776</xdr:rowOff>
    </xdr:to>
    <xdr:sp macro="[0]!Macro12" textlink="">
      <xdr:nvSpPr>
        <xdr:cNvPr id="5" name="Arrow: Right 4">
          <a:extLst>
            <a:ext uri="{FF2B5EF4-FFF2-40B4-BE49-F238E27FC236}">
              <a16:creationId xmlns:a16="http://schemas.microsoft.com/office/drawing/2014/main" id="{00000000-0008-0000-0100-000005000000}"/>
            </a:ext>
          </a:extLst>
        </xdr:cNvPr>
        <xdr:cNvSpPr/>
      </xdr:nvSpPr>
      <xdr:spPr>
        <a:xfrm>
          <a:off x="1715395" y="7988060"/>
          <a:ext cx="803967" cy="64662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Next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210024</xdr:colOff>
      <xdr:row>43</xdr:row>
      <xdr:rowOff>119148</xdr:rowOff>
    </xdr:from>
    <xdr:to>
      <xdr:col>4</xdr:col>
      <xdr:colOff>261158</xdr:colOff>
      <xdr:row>46</xdr:row>
      <xdr:rowOff>125612</xdr:rowOff>
    </xdr:to>
    <xdr:sp macro="[0]!Macro15" textlink="">
      <xdr:nvSpPr>
        <xdr:cNvPr id="9" name="Arrow: Right 8">
          <a:extLst>
            <a:ext uri="{FF2B5EF4-FFF2-40B4-BE49-F238E27FC236}">
              <a16:creationId xmlns:a16="http://schemas.microsoft.com/office/drawing/2014/main" id="{00000000-0008-0000-0300-000009000000}"/>
            </a:ext>
          </a:extLst>
        </xdr:cNvPr>
        <xdr:cNvSpPr/>
      </xdr:nvSpPr>
      <xdr:spPr>
        <a:xfrm>
          <a:off x="3500479" y="8587739"/>
          <a:ext cx="1038270" cy="68187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Next</a:t>
          </a:r>
        </a:p>
      </xdr:txBody>
    </xdr:sp>
    <xdr:clientData/>
  </xdr:twoCellAnchor>
  <xdr:twoCellAnchor>
    <xdr:from>
      <xdr:col>2</xdr:col>
      <xdr:colOff>128114</xdr:colOff>
      <xdr:row>44</xdr:row>
      <xdr:rowOff>69515</xdr:rowOff>
    </xdr:from>
    <xdr:to>
      <xdr:col>3</xdr:col>
      <xdr:colOff>126767</xdr:colOff>
      <xdr:row>45</xdr:row>
      <xdr:rowOff>201583</xdr:rowOff>
    </xdr:to>
    <xdr:sp macro="[0]!Macro14" textlink="">
      <xdr:nvSpPr>
        <xdr:cNvPr id="10" name="Rectangle 9">
          <a:extLst>
            <a:ext uri="{FF2B5EF4-FFF2-40B4-BE49-F238E27FC236}">
              <a16:creationId xmlns:a16="http://schemas.microsoft.com/office/drawing/2014/main" id="{00000000-0008-0000-0300-00000A000000}"/>
            </a:ext>
          </a:extLst>
        </xdr:cNvPr>
        <xdr:cNvSpPr/>
      </xdr:nvSpPr>
      <xdr:spPr>
        <a:xfrm>
          <a:off x="2708523" y="8763242"/>
          <a:ext cx="708699" cy="35720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Menu</a:t>
          </a:r>
        </a:p>
      </xdr:txBody>
    </xdr:sp>
    <xdr:clientData/>
  </xdr:twoCellAnchor>
  <xdr:twoCellAnchor>
    <xdr:from>
      <xdr:col>1</xdr:col>
      <xdr:colOff>209550</xdr:colOff>
      <xdr:row>37</xdr:row>
      <xdr:rowOff>152400</xdr:rowOff>
    </xdr:from>
    <xdr:to>
      <xdr:col>2</xdr:col>
      <xdr:colOff>277091</xdr:colOff>
      <xdr:row>41</xdr:row>
      <xdr:rowOff>57150</xdr:rowOff>
    </xdr:to>
    <xdr:sp macro="[0]!Macro36"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214005" y="8620991"/>
          <a:ext cx="1643495" cy="82261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 A → Z</a:t>
          </a:r>
        </a:p>
      </xdr:txBody>
    </xdr:sp>
    <xdr:clientData/>
  </xdr:twoCellAnchor>
  <xdr:twoCellAnchor>
    <xdr:from>
      <xdr:col>2</xdr:col>
      <xdr:colOff>588515</xdr:colOff>
      <xdr:row>37</xdr:row>
      <xdr:rowOff>155864</xdr:rowOff>
    </xdr:from>
    <xdr:to>
      <xdr:col>4</xdr:col>
      <xdr:colOff>502229</xdr:colOff>
      <xdr:row>41</xdr:row>
      <xdr:rowOff>86591</xdr:rowOff>
    </xdr:to>
    <xdr:sp macro="Macro37" textlink="">
      <xdr:nvSpPr>
        <xdr:cNvPr id="16" name="Rectangle: Rounded Corners 15">
          <a:extLst>
            <a:ext uri="{FF2B5EF4-FFF2-40B4-BE49-F238E27FC236}">
              <a16:creationId xmlns:a16="http://schemas.microsoft.com/office/drawing/2014/main" id="{00000000-0008-0000-0300-000010000000}"/>
            </a:ext>
          </a:extLst>
        </xdr:cNvPr>
        <xdr:cNvSpPr/>
      </xdr:nvSpPr>
      <xdr:spPr>
        <a:xfrm>
          <a:off x="3168924" y="8624455"/>
          <a:ext cx="1610896" cy="8485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 Z → A</a:t>
          </a:r>
        </a:p>
      </xdr:txBody>
    </xdr:sp>
    <xdr:clientData/>
  </xdr:twoCellAnchor>
  <xdr:twoCellAnchor>
    <xdr:from>
      <xdr:col>1</xdr:col>
      <xdr:colOff>560371</xdr:colOff>
      <xdr:row>43</xdr:row>
      <xdr:rowOff>105987</xdr:rowOff>
    </xdr:from>
    <xdr:to>
      <xdr:col>2</xdr:col>
      <xdr:colOff>41617</xdr:colOff>
      <xdr:row>46</xdr:row>
      <xdr:rowOff>173182</xdr:rowOff>
    </xdr:to>
    <xdr:sp macro="[0]!Macro13" textlink="">
      <xdr:nvSpPr>
        <xdr:cNvPr id="1045" name="Arrow: Left 1044">
          <a:extLst>
            <a:ext uri="{FF2B5EF4-FFF2-40B4-BE49-F238E27FC236}">
              <a16:creationId xmlns:a16="http://schemas.microsoft.com/office/drawing/2014/main" id="{00000000-0008-0000-0300-000015040000}"/>
            </a:ext>
          </a:extLst>
        </xdr:cNvPr>
        <xdr:cNvSpPr/>
      </xdr:nvSpPr>
      <xdr:spPr>
        <a:xfrm>
          <a:off x="1564826" y="8574578"/>
          <a:ext cx="1057200" cy="742604"/>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Back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714947</xdr:colOff>
      <xdr:row>43</xdr:row>
      <xdr:rowOff>138886</xdr:rowOff>
    </xdr:from>
    <xdr:to>
      <xdr:col>4</xdr:col>
      <xdr:colOff>666457</xdr:colOff>
      <xdr:row>47</xdr:row>
      <xdr:rowOff>47123</xdr:rowOff>
    </xdr:to>
    <xdr:sp macro="[0]!Macro18" textlink="">
      <xdr:nvSpPr>
        <xdr:cNvPr id="6" name="Arrow: Right 5">
          <a:extLst>
            <a:ext uri="{FF2B5EF4-FFF2-40B4-BE49-F238E27FC236}">
              <a16:creationId xmlns:a16="http://schemas.microsoft.com/office/drawing/2014/main" id="{00000000-0008-0000-0400-000006000000}"/>
            </a:ext>
          </a:extLst>
        </xdr:cNvPr>
        <xdr:cNvSpPr/>
      </xdr:nvSpPr>
      <xdr:spPr>
        <a:xfrm>
          <a:off x="4005402" y="8694068"/>
          <a:ext cx="938646" cy="73951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Next</a:t>
          </a:r>
        </a:p>
      </xdr:txBody>
    </xdr:sp>
    <xdr:clientData/>
  </xdr:twoCellAnchor>
  <xdr:twoCellAnchor>
    <xdr:from>
      <xdr:col>2</xdr:col>
      <xdr:colOff>406747</xdr:colOff>
      <xdr:row>44</xdr:row>
      <xdr:rowOff>115931</xdr:rowOff>
    </xdr:from>
    <xdr:to>
      <xdr:col>3</xdr:col>
      <xdr:colOff>520930</xdr:colOff>
      <xdr:row>46</xdr:row>
      <xdr:rowOff>73270</xdr:rowOff>
    </xdr:to>
    <xdr:sp macro="[0]!Macro17" textlink="">
      <xdr:nvSpPr>
        <xdr:cNvPr id="9" name="Rectangle 8">
          <a:extLst>
            <a:ext uri="{FF2B5EF4-FFF2-40B4-BE49-F238E27FC236}">
              <a16:creationId xmlns:a16="http://schemas.microsoft.com/office/drawing/2014/main" id="{00000000-0008-0000-0400-000009000000}"/>
            </a:ext>
          </a:extLst>
        </xdr:cNvPr>
        <xdr:cNvSpPr/>
      </xdr:nvSpPr>
      <xdr:spPr>
        <a:xfrm>
          <a:off x="2987156" y="8878931"/>
          <a:ext cx="824229" cy="33833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Menu</a:t>
          </a:r>
        </a:p>
      </xdr:txBody>
    </xdr:sp>
    <xdr:clientData/>
  </xdr:twoCellAnchor>
  <xdr:twoCellAnchor>
    <xdr:from>
      <xdr:col>1</xdr:col>
      <xdr:colOff>874218</xdr:colOff>
      <xdr:row>43</xdr:row>
      <xdr:rowOff>134589</xdr:rowOff>
    </xdr:from>
    <xdr:to>
      <xdr:col>2</xdr:col>
      <xdr:colOff>284301</xdr:colOff>
      <xdr:row>47</xdr:row>
      <xdr:rowOff>46628</xdr:rowOff>
    </xdr:to>
    <xdr:sp macro="[0]!Macro16" textlink="">
      <xdr:nvSpPr>
        <xdr:cNvPr id="10" name="Arrow: Left 9">
          <a:extLst>
            <a:ext uri="{FF2B5EF4-FFF2-40B4-BE49-F238E27FC236}">
              <a16:creationId xmlns:a16="http://schemas.microsoft.com/office/drawing/2014/main" id="{00000000-0008-0000-0400-00000A000000}"/>
            </a:ext>
          </a:extLst>
        </xdr:cNvPr>
        <xdr:cNvSpPr/>
      </xdr:nvSpPr>
      <xdr:spPr>
        <a:xfrm>
          <a:off x="1878673" y="8689771"/>
          <a:ext cx="986037" cy="74331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Back</a:t>
          </a:r>
        </a:p>
      </xdr:txBody>
    </xdr:sp>
    <xdr:clientData/>
  </xdr:twoCellAnchor>
  <xdr:twoCellAnchor>
    <xdr:from>
      <xdr:col>1</xdr:col>
      <xdr:colOff>434935</xdr:colOff>
      <xdr:row>37</xdr:row>
      <xdr:rowOff>214252</xdr:rowOff>
    </xdr:from>
    <xdr:to>
      <xdr:col>2</xdr:col>
      <xdr:colOff>519547</xdr:colOff>
      <xdr:row>41</xdr:row>
      <xdr:rowOff>103909</xdr:rowOff>
    </xdr:to>
    <xdr:sp macro="[0]!Macro38" textlink="">
      <xdr:nvSpPr>
        <xdr:cNvPr id="15" name="Rectangle: Rounded Corners 14">
          <a:extLst>
            <a:ext uri="{FF2B5EF4-FFF2-40B4-BE49-F238E27FC236}">
              <a16:creationId xmlns:a16="http://schemas.microsoft.com/office/drawing/2014/main" id="{00000000-0008-0000-0400-00000F000000}"/>
            </a:ext>
          </a:extLst>
        </xdr:cNvPr>
        <xdr:cNvSpPr/>
      </xdr:nvSpPr>
      <xdr:spPr>
        <a:xfrm>
          <a:off x="1439390" y="7297388"/>
          <a:ext cx="1660566" cy="89411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 A → Z</a:t>
          </a:r>
        </a:p>
      </xdr:txBody>
    </xdr:sp>
    <xdr:clientData/>
  </xdr:twoCellAnchor>
  <xdr:twoCellAnchor>
    <xdr:from>
      <xdr:col>3</xdr:col>
      <xdr:colOff>329044</xdr:colOff>
      <xdr:row>37</xdr:row>
      <xdr:rowOff>242455</xdr:rowOff>
    </xdr:from>
    <xdr:to>
      <xdr:col>5</xdr:col>
      <xdr:colOff>17317</xdr:colOff>
      <xdr:row>41</xdr:row>
      <xdr:rowOff>121226</xdr:rowOff>
    </xdr:to>
    <xdr:sp macro="[0]!Macro39" textlink="">
      <xdr:nvSpPr>
        <xdr:cNvPr id="16" name="Rectangle: Rounded Corners 15">
          <a:extLst>
            <a:ext uri="{FF2B5EF4-FFF2-40B4-BE49-F238E27FC236}">
              <a16:creationId xmlns:a16="http://schemas.microsoft.com/office/drawing/2014/main" id="{00000000-0008-0000-0400-000010000000}"/>
            </a:ext>
          </a:extLst>
        </xdr:cNvPr>
        <xdr:cNvSpPr/>
      </xdr:nvSpPr>
      <xdr:spPr>
        <a:xfrm>
          <a:off x="3619499" y="7325591"/>
          <a:ext cx="1593273" cy="8832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 Z → 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474667</xdr:colOff>
      <xdr:row>43</xdr:row>
      <xdr:rowOff>132440</xdr:rowOff>
    </xdr:from>
    <xdr:to>
      <xdr:col>4</xdr:col>
      <xdr:colOff>516082</xdr:colOff>
      <xdr:row>47</xdr:row>
      <xdr:rowOff>59272</xdr:rowOff>
    </xdr:to>
    <xdr:sp macro="[0]!Macro30" textlink="">
      <xdr:nvSpPr>
        <xdr:cNvPr id="6" name="Arrow: Right 5">
          <a:extLst>
            <a:ext uri="{FF2B5EF4-FFF2-40B4-BE49-F238E27FC236}">
              <a16:creationId xmlns:a16="http://schemas.microsoft.com/office/drawing/2014/main" id="{00000000-0008-0000-0500-000006000000}"/>
            </a:ext>
          </a:extLst>
        </xdr:cNvPr>
        <xdr:cNvSpPr/>
      </xdr:nvSpPr>
      <xdr:spPr>
        <a:xfrm>
          <a:off x="3765122" y="8791531"/>
          <a:ext cx="1028551" cy="81005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Next</a:t>
          </a:r>
        </a:p>
      </xdr:txBody>
    </xdr:sp>
    <xdr:clientData/>
  </xdr:twoCellAnchor>
  <xdr:twoCellAnchor>
    <xdr:from>
      <xdr:col>2</xdr:col>
      <xdr:colOff>366315</xdr:colOff>
      <xdr:row>44</xdr:row>
      <xdr:rowOff>111370</xdr:rowOff>
    </xdr:from>
    <xdr:to>
      <xdr:col>3</xdr:col>
      <xdr:colOff>374873</xdr:colOff>
      <xdr:row>46</xdr:row>
      <xdr:rowOff>80997</xdr:rowOff>
    </xdr:to>
    <xdr:sp macro="[0]!Macro20" textlink="">
      <xdr:nvSpPr>
        <xdr:cNvPr id="7" name="Rectangle 6">
          <a:extLst>
            <a:ext uri="{FF2B5EF4-FFF2-40B4-BE49-F238E27FC236}">
              <a16:creationId xmlns:a16="http://schemas.microsoft.com/office/drawing/2014/main" id="{00000000-0008-0000-0500-000007000000}"/>
            </a:ext>
          </a:extLst>
        </xdr:cNvPr>
        <xdr:cNvSpPr/>
      </xdr:nvSpPr>
      <xdr:spPr>
        <a:xfrm>
          <a:off x="2946724" y="8978279"/>
          <a:ext cx="718604" cy="4025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Menu</a:t>
          </a:r>
        </a:p>
      </xdr:txBody>
    </xdr:sp>
    <xdr:clientData/>
  </xdr:twoCellAnchor>
  <xdr:twoCellAnchor>
    <xdr:from>
      <xdr:col>1</xdr:col>
      <xdr:colOff>826793</xdr:colOff>
      <xdr:row>43</xdr:row>
      <xdr:rowOff>127394</xdr:rowOff>
    </xdr:from>
    <xdr:to>
      <xdr:col>2</xdr:col>
      <xdr:colOff>287483</xdr:colOff>
      <xdr:row>47</xdr:row>
      <xdr:rowOff>60921</xdr:rowOff>
    </xdr:to>
    <xdr:sp macro="[0]!Macro19" textlink="">
      <xdr:nvSpPr>
        <xdr:cNvPr id="8" name="Arrow: Left 7">
          <a:extLst>
            <a:ext uri="{FF2B5EF4-FFF2-40B4-BE49-F238E27FC236}">
              <a16:creationId xmlns:a16="http://schemas.microsoft.com/office/drawing/2014/main" id="{00000000-0008-0000-0500-000008000000}"/>
            </a:ext>
          </a:extLst>
        </xdr:cNvPr>
        <xdr:cNvSpPr/>
      </xdr:nvSpPr>
      <xdr:spPr>
        <a:xfrm>
          <a:off x="1831248" y="8786485"/>
          <a:ext cx="1036644" cy="816754"/>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Back</a:t>
          </a:r>
        </a:p>
      </xdr:txBody>
    </xdr:sp>
    <xdr:clientData/>
  </xdr:twoCellAnchor>
  <xdr:twoCellAnchor>
    <xdr:from>
      <xdr:col>1</xdr:col>
      <xdr:colOff>668482</xdr:colOff>
      <xdr:row>37</xdr:row>
      <xdr:rowOff>226867</xdr:rowOff>
    </xdr:from>
    <xdr:to>
      <xdr:col>2</xdr:col>
      <xdr:colOff>658090</xdr:colOff>
      <xdr:row>41</xdr:row>
      <xdr:rowOff>33892</xdr:rowOff>
    </xdr:to>
    <xdr:sp macro="[0]!Macro40" textlink="">
      <xdr:nvSpPr>
        <xdr:cNvPr id="9" name="Rectangle: Rounded Corners 8">
          <a:extLst>
            <a:ext uri="{FF2B5EF4-FFF2-40B4-BE49-F238E27FC236}">
              <a16:creationId xmlns:a16="http://schemas.microsoft.com/office/drawing/2014/main" id="{00000000-0008-0000-0500-000009000000}"/>
            </a:ext>
          </a:extLst>
        </xdr:cNvPr>
        <xdr:cNvSpPr/>
      </xdr:nvSpPr>
      <xdr:spPr>
        <a:xfrm>
          <a:off x="1672937" y="7361958"/>
          <a:ext cx="1565562" cy="7768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 A → Z</a:t>
          </a:r>
        </a:p>
      </xdr:txBody>
    </xdr:sp>
    <xdr:clientData/>
  </xdr:twoCellAnchor>
  <xdr:twoCellAnchor>
    <xdr:from>
      <xdr:col>3</xdr:col>
      <xdr:colOff>432953</xdr:colOff>
      <xdr:row>38</xdr:row>
      <xdr:rowOff>17319</xdr:rowOff>
    </xdr:from>
    <xdr:to>
      <xdr:col>5</xdr:col>
      <xdr:colOff>103908</xdr:colOff>
      <xdr:row>41</xdr:row>
      <xdr:rowOff>86589</xdr:rowOff>
    </xdr:to>
    <xdr:sp macro="[0]!Macro41"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3723408" y="7394864"/>
          <a:ext cx="1575955" cy="7966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Sort Z → A</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28933</xdr:colOff>
      <xdr:row>12</xdr:row>
      <xdr:rowOff>140969</xdr:rowOff>
    </xdr:from>
    <xdr:to>
      <xdr:col>0</xdr:col>
      <xdr:colOff>1851301</xdr:colOff>
      <xdr:row>19</xdr:row>
      <xdr:rowOff>87938</xdr:rowOff>
    </xdr:to>
    <mc:AlternateContent xmlns:mc="http://schemas.openxmlformats.org/markup-compatibility/2006" xmlns:a14="http://schemas.microsoft.com/office/drawing/2010/main">
      <mc:Choice Requires="a14">
        <xdr:graphicFrame macro="">
          <xdr:nvGraphicFramePr>
            <xdr:cNvPr id="2" name="1st Modular (Grade)">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1st Modular (Grade)"/>
            </a:graphicData>
          </a:graphic>
        </xdr:graphicFrame>
      </mc:Choice>
      <mc:Fallback xmlns="">
        <xdr:sp macro="" textlink="">
          <xdr:nvSpPr>
            <xdr:cNvPr id="0" name=""/>
            <xdr:cNvSpPr>
              <a:spLocks noTextEdit="1"/>
            </xdr:cNvSpPr>
          </xdr:nvSpPr>
          <xdr:spPr>
            <a:xfrm>
              <a:off x="28933" y="2818855"/>
              <a:ext cx="1822368" cy="14274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41914</xdr:colOff>
      <xdr:row>20</xdr:row>
      <xdr:rowOff>128251</xdr:rowOff>
    </xdr:from>
    <xdr:to>
      <xdr:col>0</xdr:col>
      <xdr:colOff>1864282</xdr:colOff>
      <xdr:row>28</xdr:row>
      <xdr:rowOff>128749</xdr:rowOff>
    </xdr:to>
    <mc:AlternateContent xmlns:mc="http://schemas.openxmlformats.org/markup-compatibility/2006" xmlns:a14="http://schemas.microsoft.com/office/drawing/2010/main">
      <mc:Choice Requires="a14">
        <xdr:graphicFrame macro="">
          <xdr:nvGraphicFramePr>
            <xdr:cNvPr id="3" name="2nd Modular (Grade)">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2nd Modular (Grade)"/>
            </a:graphicData>
          </a:graphic>
        </xdr:graphicFrame>
      </mc:Choice>
      <mc:Fallback xmlns="">
        <xdr:sp macro="" textlink="">
          <xdr:nvSpPr>
            <xdr:cNvPr id="0" name=""/>
            <xdr:cNvSpPr>
              <a:spLocks noTextEdit="1"/>
            </xdr:cNvSpPr>
          </xdr:nvSpPr>
          <xdr:spPr>
            <a:xfrm>
              <a:off x="41914" y="4395451"/>
              <a:ext cx="1822368" cy="14413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39993</xdr:colOff>
      <xdr:row>29</xdr:row>
      <xdr:rowOff>26418</xdr:rowOff>
    </xdr:from>
    <xdr:to>
      <xdr:col>0</xdr:col>
      <xdr:colOff>1867310</xdr:colOff>
      <xdr:row>37</xdr:row>
      <xdr:rowOff>54379</xdr:rowOff>
    </xdr:to>
    <mc:AlternateContent xmlns:mc="http://schemas.openxmlformats.org/markup-compatibility/2006" xmlns:a14="http://schemas.microsoft.com/office/drawing/2010/main">
      <mc:Choice Requires="a14">
        <xdr:graphicFrame macro="">
          <xdr:nvGraphicFramePr>
            <xdr:cNvPr id="4" name="3rd Modular (Grade)">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3rd Modular (Grade)"/>
            </a:graphicData>
          </a:graphic>
        </xdr:graphicFrame>
      </mc:Choice>
      <mc:Fallback xmlns="">
        <xdr:sp macro="" textlink="">
          <xdr:nvSpPr>
            <xdr:cNvPr id="0" name=""/>
            <xdr:cNvSpPr>
              <a:spLocks noTextEdit="1"/>
            </xdr:cNvSpPr>
          </xdr:nvSpPr>
          <xdr:spPr>
            <a:xfrm>
              <a:off x="39993" y="5914600"/>
              <a:ext cx="1827317" cy="14688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1914495</xdr:colOff>
      <xdr:row>37</xdr:row>
      <xdr:rowOff>135258</xdr:rowOff>
    </xdr:from>
    <xdr:to>
      <xdr:col>0</xdr:col>
      <xdr:colOff>3845494</xdr:colOff>
      <xdr:row>45</xdr:row>
      <xdr:rowOff>149057</xdr:rowOff>
    </xdr:to>
    <mc:AlternateContent xmlns:mc="http://schemas.openxmlformats.org/markup-compatibility/2006" xmlns:a14="http://schemas.microsoft.com/office/drawing/2010/main">
      <mc:Choice Requires="a14">
        <xdr:graphicFrame macro="">
          <xdr:nvGraphicFramePr>
            <xdr:cNvPr id="5" name="4th Modular (Grade)">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4th Modular (Grade)"/>
            </a:graphicData>
          </a:graphic>
        </xdr:graphicFrame>
      </mc:Choice>
      <mc:Fallback xmlns="">
        <xdr:sp macro="" textlink="">
          <xdr:nvSpPr>
            <xdr:cNvPr id="0" name=""/>
            <xdr:cNvSpPr>
              <a:spLocks noTextEdit="1"/>
            </xdr:cNvSpPr>
          </xdr:nvSpPr>
          <xdr:spPr>
            <a:xfrm>
              <a:off x="1914495" y="7464313"/>
              <a:ext cx="1930999" cy="14546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1937945</xdr:colOff>
      <xdr:row>12</xdr:row>
      <xdr:rowOff>108857</xdr:rowOff>
    </xdr:from>
    <xdr:to>
      <xdr:col>0</xdr:col>
      <xdr:colOff>3849383</xdr:colOff>
      <xdr:row>19</xdr:row>
      <xdr:rowOff>87086</xdr:rowOff>
    </xdr:to>
    <mc:AlternateContent xmlns:mc="http://schemas.openxmlformats.org/markup-compatibility/2006" xmlns:a14="http://schemas.microsoft.com/office/drawing/2010/main">
      <mc:Choice Requires="a14">
        <xdr:graphicFrame macro="">
          <xdr:nvGraphicFramePr>
            <xdr:cNvPr id="6" name="1st Mock (Grade)3">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1st Mock (Grade)3"/>
            </a:graphicData>
          </a:graphic>
        </xdr:graphicFrame>
      </mc:Choice>
      <mc:Fallback xmlns="">
        <xdr:sp macro="" textlink="">
          <xdr:nvSpPr>
            <xdr:cNvPr id="0" name=""/>
            <xdr:cNvSpPr>
              <a:spLocks noTextEdit="1"/>
            </xdr:cNvSpPr>
          </xdr:nvSpPr>
          <xdr:spPr>
            <a:xfrm>
              <a:off x="1937945" y="2786743"/>
              <a:ext cx="1911438" cy="14586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1929877</xdr:colOff>
      <xdr:row>20</xdr:row>
      <xdr:rowOff>132781</xdr:rowOff>
    </xdr:from>
    <xdr:to>
      <xdr:col>0</xdr:col>
      <xdr:colOff>3846984</xdr:colOff>
      <xdr:row>28</xdr:row>
      <xdr:rowOff>140244</xdr:rowOff>
    </xdr:to>
    <mc:AlternateContent xmlns:mc="http://schemas.openxmlformats.org/markup-compatibility/2006" xmlns:a14="http://schemas.microsoft.com/office/drawing/2010/main">
      <mc:Choice Requires="a14">
        <xdr:graphicFrame macro="">
          <xdr:nvGraphicFramePr>
            <xdr:cNvPr id="7" name="2nd Mock (Grade)5">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microsoft.com/office/drawing/2010/slicer">
              <sle:slicer xmlns:sle="http://schemas.microsoft.com/office/drawing/2010/slicer" name="2nd Mock (Grade)5"/>
            </a:graphicData>
          </a:graphic>
        </xdr:graphicFrame>
      </mc:Choice>
      <mc:Fallback xmlns="">
        <xdr:sp macro="" textlink="">
          <xdr:nvSpPr>
            <xdr:cNvPr id="0" name=""/>
            <xdr:cNvSpPr>
              <a:spLocks noTextEdit="1"/>
            </xdr:cNvSpPr>
          </xdr:nvSpPr>
          <xdr:spPr>
            <a:xfrm>
              <a:off x="1929877" y="4399981"/>
              <a:ext cx="1917107" cy="1448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1924222</xdr:colOff>
      <xdr:row>29</xdr:row>
      <xdr:rowOff>13114</xdr:rowOff>
    </xdr:from>
    <xdr:to>
      <xdr:col>0</xdr:col>
      <xdr:colOff>3847448</xdr:colOff>
      <xdr:row>37</xdr:row>
      <xdr:rowOff>41890</xdr:rowOff>
    </xdr:to>
    <mc:AlternateContent xmlns:mc="http://schemas.openxmlformats.org/markup-compatibility/2006" xmlns:a14="http://schemas.microsoft.com/office/drawing/2010/main">
      <mc:Choice Requires="a14">
        <xdr:graphicFrame macro="">
          <xdr:nvGraphicFramePr>
            <xdr:cNvPr id="8" name="3rd Mock (Grade)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3rd Mock (Grade)7"/>
            </a:graphicData>
          </a:graphic>
        </xdr:graphicFrame>
      </mc:Choice>
      <mc:Fallback xmlns="">
        <xdr:sp macro="" textlink="">
          <xdr:nvSpPr>
            <xdr:cNvPr id="0" name=""/>
            <xdr:cNvSpPr>
              <a:spLocks noTextEdit="1"/>
            </xdr:cNvSpPr>
          </xdr:nvSpPr>
          <xdr:spPr>
            <a:xfrm>
              <a:off x="1924222" y="5901296"/>
              <a:ext cx="1923226" cy="14696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41914</xdr:colOff>
      <xdr:row>37</xdr:row>
      <xdr:rowOff>138528</xdr:rowOff>
    </xdr:from>
    <xdr:to>
      <xdr:col>0</xdr:col>
      <xdr:colOff>1875168</xdr:colOff>
      <xdr:row>45</xdr:row>
      <xdr:rowOff>152327</xdr:rowOff>
    </xdr:to>
    <mc:AlternateContent xmlns:mc="http://schemas.openxmlformats.org/markup-compatibility/2006" xmlns:a14="http://schemas.microsoft.com/office/drawing/2010/main">
      <mc:Choice Requires="a14">
        <xdr:graphicFrame macro="">
          <xdr:nvGraphicFramePr>
            <xdr:cNvPr id="10" name="4th Modular (Grade) 1">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microsoft.com/office/drawing/2010/slicer">
              <sle:slicer xmlns:sle="http://schemas.microsoft.com/office/drawing/2010/slicer" name="4th Modular (Grade) 1"/>
            </a:graphicData>
          </a:graphic>
        </xdr:graphicFrame>
      </mc:Choice>
      <mc:Fallback xmlns="">
        <xdr:sp macro="" textlink="">
          <xdr:nvSpPr>
            <xdr:cNvPr id="0" name=""/>
            <xdr:cNvSpPr>
              <a:spLocks noTextEdit="1"/>
            </xdr:cNvSpPr>
          </xdr:nvSpPr>
          <xdr:spPr>
            <a:xfrm>
              <a:off x="41914" y="7467583"/>
              <a:ext cx="1833254" cy="14546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93715</xdr:colOff>
      <xdr:row>63</xdr:row>
      <xdr:rowOff>0</xdr:rowOff>
    </xdr:from>
    <xdr:to>
      <xdr:col>0</xdr:col>
      <xdr:colOff>1922515</xdr:colOff>
      <xdr:row>70</xdr:row>
      <xdr:rowOff>171204</xdr:rowOff>
    </xdr:to>
    <mc:AlternateContent xmlns:mc="http://schemas.openxmlformats.org/markup-compatibility/2006" xmlns:a14="http://schemas.microsoft.com/office/drawing/2010/main">
      <mc:Choice Requires="a14">
        <xdr:graphicFrame macro="">
          <xdr:nvGraphicFramePr>
            <xdr:cNvPr id="31" name="1st Modular (Grade) 1">
              <a:extLst>
                <a:ext uri="{FF2B5EF4-FFF2-40B4-BE49-F238E27FC236}">
                  <a16:creationId xmlns:a16="http://schemas.microsoft.com/office/drawing/2014/main" id="{00000000-0008-0000-0600-00001F000000}"/>
                </a:ext>
              </a:extLst>
            </xdr:cNvPr>
            <xdr:cNvGraphicFramePr/>
          </xdr:nvGraphicFramePr>
          <xdr:xfrm>
            <a:off x="0" y="0"/>
            <a:ext cx="0" cy="0"/>
          </xdr:xfrm>
          <a:graphic>
            <a:graphicData uri="http://schemas.microsoft.com/office/drawing/2010/slicer">
              <sle:slicer xmlns:sle="http://schemas.microsoft.com/office/drawing/2010/slicer" name="1st Modular (Grade) 1"/>
            </a:graphicData>
          </a:graphic>
        </xdr:graphicFrame>
      </mc:Choice>
      <mc:Fallback xmlns="">
        <xdr:sp macro="" textlink="">
          <xdr:nvSpPr>
            <xdr:cNvPr id="0" name=""/>
            <xdr:cNvSpPr>
              <a:spLocks noTextEdit="1"/>
            </xdr:cNvSpPr>
          </xdr:nvSpPr>
          <xdr:spPr>
            <a:xfrm>
              <a:off x="93715" y="12757500"/>
              <a:ext cx="1828800" cy="148689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105688</xdr:colOff>
      <xdr:row>71</xdr:row>
      <xdr:rowOff>43149</xdr:rowOff>
    </xdr:from>
    <xdr:to>
      <xdr:col>0</xdr:col>
      <xdr:colOff>1934488</xdr:colOff>
      <xdr:row>79</xdr:row>
      <xdr:rowOff>169227</xdr:rowOff>
    </xdr:to>
    <mc:AlternateContent xmlns:mc="http://schemas.openxmlformats.org/markup-compatibility/2006" xmlns:a14="http://schemas.microsoft.com/office/drawing/2010/main">
      <mc:Choice Requires="a14">
        <xdr:graphicFrame macro="">
          <xdr:nvGraphicFramePr>
            <xdr:cNvPr id="32" name="2nd Modular (Grade) 1">
              <a:extLst>
                <a:ext uri="{FF2B5EF4-FFF2-40B4-BE49-F238E27FC236}">
                  <a16:creationId xmlns:a16="http://schemas.microsoft.com/office/drawing/2014/main" id="{00000000-0008-0000-0600-000020000000}"/>
                </a:ext>
              </a:extLst>
            </xdr:cNvPr>
            <xdr:cNvGraphicFramePr/>
          </xdr:nvGraphicFramePr>
          <xdr:xfrm>
            <a:off x="0" y="0"/>
            <a:ext cx="0" cy="0"/>
          </xdr:xfrm>
          <a:graphic>
            <a:graphicData uri="http://schemas.microsoft.com/office/drawing/2010/slicer">
              <sle:slicer xmlns:sle="http://schemas.microsoft.com/office/drawing/2010/slicer" name="2nd Modular (Grade) 1"/>
            </a:graphicData>
          </a:graphic>
        </xdr:graphicFrame>
      </mc:Choice>
      <mc:Fallback xmlns="">
        <xdr:sp macro="" textlink="">
          <xdr:nvSpPr>
            <xdr:cNvPr id="0" name=""/>
            <xdr:cNvSpPr>
              <a:spLocks noTextEdit="1"/>
            </xdr:cNvSpPr>
          </xdr:nvSpPr>
          <xdr:spPr>
            <a:xfrm>
              <a:off x="105688" y="14306837"/>
              <a:ext cx="1828800" cy="162626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82037</xdr:colOff>
      <xdr:row>80</xdr:row>
      <xdr:rowOff>61059</xdr:rowOff>
    </xdr:from>
    <xdr:to>
      <xdr:col>0</xdr:col>
      <xdr:colOff>1910837</xdr:colOff>
      <xdr:row>88</xdr:row>
      <xdr:rowOff>164275</xdr:rowOff>
    </xdr:to>
    <mc:AlternateContent xmlns:mc="http://schemas.openxmlformats.org/markup-compatibility/2006" xmlns:a14="http://schemas.microsoft.com/office/drawing/2010/main">
      <mc:Choice Requires="a14">
        <xdr:graphicFrame macro="">
          <xdr:nvGraphicFramePr>
            <xdr:cNvPr id="33" name="3rd Modular (Grade) 1">
              <a:extLst>
                <a:ext uri="{FF2B5EF4-FFF2-40B4-BE49-F238E27FC236}">
                  <a16:creationId xmlns:a16="http://schemas.microsoft.com/office/drawing/2014/main" id="{00000000-0008-0000-0600-000021000000}"/>
                </a:ext>
              </a:extLst>
            </xdr:cNvPr>
            <xdr:cNvGraphicFramePr/>
          </xdr:nvGraphicFramePr>
          <xdr:xfrm>
            <a:off x="0" y="0"/>
            <a:ext cx="0" cy="0"/>
          </xdr:xfrm>
          <a:graphic>
            <a:graphicData uri="http://schemas.microsoft.com/office/drawing/2010/slicer">
              <sle:slicer xmlns:sle="http://schemas.microsoft.com/office/drawing/2010/slicer" name="3rd Modular (Grade) 1"/>
            </a:graphicData>
          </a:graphic>
        </xdr:graphicFrame>
      </mc:Choice>
      <mc:Fallback xmlns="">
        <xdr:sp macro="" textlink="">
          <xdr:nvSpPr>
            <xdr:cNvPr id="0" name=""/>
            <xdr:cNvSpPr>
              <a:spLocks noTextEdit="1"/>
            </xdr:cNvSpPr>
          </xdr:nvSpPr>
          <xdr:spPr>
            <a:xfrm>
              <a:off x="82037" y="16205934"/>
              <a:ext cx="1828800" cy="162721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88075</xdr:colOff>
      <xdr:row>89</xdr:row>
      <xdr:rowOff>59180</xdr:rowOff>
    </xdr:from>
    <xdr:to>
      <xdr:col>0</xdr:col>
      <xdr:colOff>1916875</xdr:colOff>
      <xdr:row>97</xdr:row>
      <xdr:rowOff>42556</xdr:rowOff>
    </xdr:to>
    <mc:AlternateContent xmlns:mc="http://schemas.openxmlformats.org/markup-compatibility/2006" xmlns:a14="http://schemas.microsoft.com/office/drawing/2010/main">
      <mc:Choice Requires="a14">
        <xdr:graphicFrame macro="">
          <xdr:nvGraphicFramePr>
            <xdr:cNvPr id="34" name="4th Modular (Grade) 2">
              <a:extLst>
                <a:ext uri="{FF2B5EF4-FFF2-40B4-BE49-F238E27FC236}">
                  <a16:creationId xmlns:a16="http://schemas.microsoft.com/office/drawing/2014/main" id="{00000000-0008-0000-0600-000022000000}"/>
                </a:ext>
              </a:extLst>
            </xdr:cNvPr>
            <xdr:cNvGraphicFramePr/>
          </xdr:nvGraphicFramePr>
          <xdr:xfrm>
            <a:off x="0" y="0"/>
            <a:ext cx="0" cy="0"/>
          </xdr:xfrm>
          <a:graphic>
            <a:graphicData uri="http://schemas.microsoft.com/office/drawing/2010/slicer">
              <sle:slicer xmlns:sle="http://schemas.microsoft.com/office/drawing/2010/slicer" name="4th Modular (Grade) 2"/>
            </a:graphicData>
          </a:graphic>
        </xdr:graphicFrame>
      </mc:Choice>
      <mc:Fallback xmlns="">
        <xdr:sp macro="" textlink="">
          <xdr:nvSpPr>
            <xdr:cNvPr id="0" name=""/>
            <xdr:cNvSpPr>
              <a:spLocks noTextEdit="1"/>
            </xdr:cNvSpPr>
          </xdr:nvSpPr>
          <xdr:spPr>
            <a:xfrm>
              <a:off x="88075" y="17918555"/>
              <a:ext cx="1828800" cy="1507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1972392</xdr:colOff>
      <xdr:row>63</xdr:row>
      <xdr:rowOff>13853</xdr:rowOff>
    </xdr:from>
    <xdr:to>
      <xdr:col>1</xdr:col>
      <xdr:colOff>10242</xdr:colOff>
      <xdr:row>70</xdr:row>
      <xdr:rowOff>179121</xdr:rowOff>
    </xdr:to>
    <mc:AlternateContent xmlns:mc="http://schemas.openxmlformats.org/markup-compatibility/2006" xmlns:a14="http://schemas.microsoft.com/office/drawing/2010/main">
      <mc:Choice Requires="a14">
        <xdr:graphicFrame macro="">
          <xdr:nvGraphicFramePr>
            <xdr:cNvPr id="35" name="1st Mock (Grade)3 1">
              <a:extLst>
                <a:ext uri="{FF2B5EF4-FFF2-40B4-BE49-F238E27FC236}">
                  <a16:creationId xmlns:a16="http://schemas.microsoft.com/office/drawing/2014/main" id="{00000000-0008-0000-0600-000023000000}"/>
                </a:ext>
              </a:extLst>
            </xdr:cNvPr>
            <xdr:cNvGraphicFramePr/>
          </xdr:nvGraphicFramePr>
          <xdr:xfrm>
            <a:off x="0" y="0"/>
            <a:ext cx="0" cy="0"/>
          </xdr:xfrm>
          <a:graphic>
            <a:graphicData uri="http://schemas.microsoft.com/office/drawing/2010/slicer">
              <sle:slicer xmlns:sle="http://schemas.microsoft.com/office/drawing/2010/slicer" name="1st Mock (Grade)3 1"/>
            </a:graphicData>
          </a:graphic>
        </xdr:graphicFrame>
      </mc:Choice>
      <mc:Fallback xmlns="">
        <xdr:sp macro="" textlink="">
          <xdr:nvSpPr>
            <xdr:cNvPr id="0" name=""/>
            <xdr:cNvSpPr>
              <a:spLocks noTextEdit="1"/>
            </xdr:cNvSpPr>
          </xdr:nvSpPr>
          <xdr:spPr>
            <a:xfrm>
              <a:off x="1972392" y="12935196"/>
              <a:ext cx="1924050" cy="14606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1996835</xdr:colOff>
      <xdr:row>71</xdr:row>
      <xdr:rowOff>37607</xdr:rowOff>
    </xdr:from>
    <xdr:to>
      <xdr:col>1</xdr:col>
      <xdr:colOff>6110</xdr:colOff>
      <xdr:row>79</xdr:row>
      <xdr:rowOff>153294</xdr:rowOff>
    </xdr:to>
    <mc:AlternateContent xmlns:mc="http://schemas.openxmlformats.org/markup-compatibility/2006" xmlns:a14="http://schemas.microsoft.com/office/drawing/2010/main">
      <mc:Choice Requires="a14">
        <xdr:graphicFrame macro="">
          <xdr:nvGraphicFramePr>
            <xdr:cNvPr id="36" name="2nd Mock (Grade)5 1">
              <a:extLst>
                <a:ext uri="{FF2B5EF4-FFF2-40B4-BE49-F238E27FC236}">
                  <a16:creationId xmlns:a16="http://schemas.microsoft.com/office/drawing/2014/main" id="{00000000-0008-0000-0600-000024000000}"/>
                </a:ext>
              </a:extLst>
            </xdr:cNvPr>
            <xdr:cNvGraphicFramePr/>
          </xdr:nvGraphicFramePr>
          <xdr:xfrm>
            <a:off x="0" y="0"/>
            <a:ext cx="0" cy="0"/>
          </xdr:xfrm>
          <a:graphic>
            <a:graphicData uri="http://schemas.microsoft.com/office/drawing/2010/slicer">
              <sle:slicer xmlns:sle="http://schemas.microsoft.com/office/drawing/2010/slicer" name="2nd Mock (Grade)5 1"/>
            </a:graphicData>
          </a:graphic>
        </xdr:graphicFrame>
      </mc:Choice>
      <mc:Fallback xmlns="">
        <xdr:sp macro="" textlink="">
          <xdr:nvSpPr>
            <xdr:cNvPr id="0" name=""/>
            <xdr:cNvSpPr>
              <a:spLocks noTextEdit="1"/>
            </xdr:cNvSpPr>
          </xdr:nvSpPr>
          <xdr:spPr>
            <a:xfrm>
              <a:off x="1996835" y="14301295"/>
              <a:ext cx="1795463" cy="161587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1977340</xdr:colOff>
      <xdr:row>80</xdr:row>
      <xdr:rowOff>86789</xdr:rowOff>
    </xdr:from>
    <xdr:to>
      <xdr:col>1</xdr:col>
      <xdr:colOff>10861</xdr:colOff>
      <xdr:row>88</xdr:row>
      <xdr:rowOff>166354</xdr:rowOff>
    </xdr:to>
    <mc:AlternateContent xmlns:mc="http://schemas.openxmlformats.org/markup-compatibility/2006" xmlns:a14="http://schemas.microsoft.com/office/drawing/2010/main">
      <mc:Choice Requires="a14">
        <xdr:graphicFrame macro="">
          <xdr:nvGraphicFramePr>
            <xdr:cNvPr id="37" name="3rd Mock (Grade)7 1">
              <a:extLst>
                <a:ext uri="{FF2B5EF4-FFF2-40B4-BE49-F238E27FC236}">
                  <a16:creationId xmlns:a16="http://schemas.microsoft.com/office/drawing/2014/main" id="{00000000-0008-0000-0600-000025000000}"/>
                </a:ext>
              </a:extLst>
            </xdr:cNvPr>
            <xdr:cNvGraphicFramePr/>
          </xdr:nvGraphicFramePr>
          <xdr:xfrm>
            <a:off x="0" y="0"/>
            <a:ext cx="0" cy="0"/>
          </xdr:xfrm>
          <a:graphic>
            <a:graphicData uri="http://schemas.microsoft.com/office/drawing/2010/slicer">
              <sle:slicer xmlns:sle="http://schemas.microsoft.com/office/drawing/2010/slicer" name="3rd Mock (Grade)7 1"/>
            </a:graphicData>
          </a:graphic>
        </xdr:graphicFrame>
      </mc:Choice>
      <mc:Fallback xmlns="">
        <xdr:sp macro="" textlink="">
          <xdr:nvSpPr>
            <xdr:cNvPr id="0" name=""/>
            <xdr:cNvSpPr>
              <a:spLocks noTextEdit="1"/>
            </xdr:cNvSpPr>
          </xdr:nvSpPr>
          <xdr:spPr>
            <a:xfrm>
              <a:off x="1977340" y="16231664"/>
              <a:ext cx="1819709" cy="160356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1991201</xdr:colOff>
      <xdr:row>89</xdr:row>
      <xdr:rowOff>61788</xdr:rowOff>
    </xdr:from>
    <xdr:to>
      <xdr:col>1</xdr:col>
      <xdr:colOff>7556</xdr:colOff>
      <xdr:row>97</xdr:row>
      <xdr:rowOff>36320</xdr:rowOff>
    </xdr:to>
    <mc:AlternateContent xmlns:mc="http://schemas.openxmlformats.org/markup-compatibility/2006" xmlns:a14="http://schemas.microsoft.com/office/drawing/2010/main">
      <mc:Choice Requires="a14">
        <xdr:graphicFrame macro="">
          <xdr:nvGraphicFramePr>
            <xdr:cNvPr id="38" name="4th Mock (Grade)9">
              <a:extLst>
                <a:ext uri="{FF2B5EF4-FFF2-40B4-BE49-F238E27FC236}">
                  <a16:creationId xmlns:a16="http://schemas.microsoft.com/office/drawing/2014/main" id="{00000000-0008-0000-0600-000026000000}"/>
                </a:ext>
              </a:extLst>
            </xdr:cNvPr>
            <xdr:cNvGraphicFramePr/>
          </xdr:nvGraphicFramePr>
          <xdr:xfrm>
            <a:off x="0" y="0"/>
            <a:ext cx="0" cy="0"/>
          </xdr:xfrm>
          <a:graphic>
            <a:graphicData uri="http://schemas.microsoft.com/office/drawing/2010/slicer">
              <sle:slicer xmlns:sle="http://schemas.microsoft.com/office/drawing/2010/slicer" name="4th Mock (Grade)9"/>
            </a:graphicData>
          </a:graphic>
        </xdr:graphicFrame>
      </mc:Choice>
      <mc:Fallback xmlns="">
        <xdr:sp macro="" textlink="">
          <xdr:nvSpPr>
            <xdr:cNvPr id="0" name=""/>
            <xdr:cNvSpPr>
              <a:spLocks noTextEdit="1"/>
            </xdr:cNvSpPr>
          </xdr:nvSpPr>
          <xdr:spPr>
            <a:xfrm>
              <a:off x="1991201" y="17921163"/>
              <a:ext cx="1802543" cy="149853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103096</xdr:colOff>
      <xdr:row>112</xdr:row>
      <xdr:rowOff>137732</xdr:rowOff>
    </xdr:from>
    <xdr:to>
      <xdr:col>0</xdr:col>
      <xdr:colOff>1931896</xdr:colOff>
      <xdr:row>120</xdr:row>
      <xdr:rowOff>124692</xdr:rowOff>
    </xdr:to>
    <mc:AlternateContent xmlns:mc="http://schemas.openxmlformats.org/markup-compatibility/2006" xmlns:a14="http://schemas.microsoft.com/office/drawing/2010/main">
      <mc:Choice Requires="a14">
        <xdr:graphicFrame macro="">
          <xdr:nvGraphicFramePr>
            <xdr:cNvPr id="51" name="1st Modular (Grade) 2">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microsoft.com/office/drawing/2010/slicer">
              <sle:slicer xmlns:sle="http://schemas.microsoft.com/office/drawing/2010/slicer" name="1st Modular (Grade) 2"/>
            </a:graphicData>
          </a:graphic>
        </xdr:graphicFrame>
      </mc:Choice>
      <mc:Fallback xmlns="">
        <xdr:sp macro="" textlink="">
          <xdr:nvSpPr>
            <xdr:cNvPr id="0" name=""/>
            <xdr:cNvSpPr>
              <a:spLocks noTextEdit="1"/>
            </xdr:cNvSpPr>
          </xdr:nvSpPr>
          <xdr:spPr>
            <a:xfrm>
              <a:off x="103096" y="22735794"/>
              <a:ext cx="1828800" cy="162648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115573</xdr:colOff>
      <xdr:row>121</xdr:row>
      <xdr:rowOff>67234</xdr:rowOff>
    </xdr:from>
    <xdr:to>
      <xdr:col>0</xdr:col>
      <xdr:colOff>1928044</xdr:colOff>
      <xdr:row>129</xdr:row>
      <xdr:rowOff>100703</xdr:rowOff>
    </xdr:to>
    <mc:AlternateContent xmlns:mc="http://schemas.openxmlformats.org/markup-compatibility/2006" xmlns:a14="http://schemas.microsoft.com/office/drawing/2010/main">
      <mc:Choice Requires="a14">
        <xdr:graphicFrame macro="">
          <xdr:nvGraphicFramePr>
            <xdr:cNvPr id="52" name="2nd Modular (Grade) 2">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microsoft.com/office/drawing/2010/slicer">
              <sle:slicer xmlns:sle="http://schemas.microsoft.com/office/drawing/2010/slicer" name="2nd Modular (Grade) 2"/>
            </a:graphicData>
          </a:graphic>
        </xdr:graphicFrame>
      </mc:Choice>
      <mc:Fallback xmlns="">
        <xdr:sp macro="" textlink="">
          <xdr:nvSpPr>
            <xdr:cNvPr id="0" name=""/>
            <xdr:cNvSpPr>
              <a:spLocks noTextEdit="1"/>
            </xdr:cNvSpPr>
          </xdr:nvSpPr>
          <xdr:spPr>
            <a:xfrm>
              <a:off x="115573" y="23647670"/>
              <a:ext cx="1812471" cy="14743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84322</xdr:colOff>
      <xdr:row>129</xdr:row>
      <xdr:rowOff>171154</xdr:rowOff>
    </xdr:from>
    <xdr:to>
      <xdr:col>0</xdr:col>
      <xdr:colOff>1902236</xdr:colOff>
      <xdr:row>138</xdr:row>
      <xdr:rowOff>106705</xdr:rowOff>
    </xdr:to>
    <mc:AlternateContent xmlns:mc="http://schemas.openxmlformats.org/markup-compatibility/2006" xmlns:a14="http://schemas.microsoft.com/office/drawing/2010/main">
      <mc:Choice Requires="a14">
        <xdr:graphicFrame macro="">
          <xdr:nvGraphicFramePr>
            <xdr:cNvPr id="53" name="3rd Modular (Grade) 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microsoft.com/office/drawing/2010/slicer">
              <sle:slicer xmlns:sle="http://schemas.microsoft.com/office/drawing/2010/slicer" name="3rd Modular (Grade) 2"/>
            </a:graphicData>
          </a:graphic>
        </xdr:graphicFrame>
      </mc:Choice>
      <mc:Fallback xmlns="">
        <xdr:sp macro="" textlink="">
          <xdr:nvSpPr>
            <xdr:cNvPr id="0" name=""/>
            <xdr:cNvSpPr>
              <a:spLocks noTextEdit="1"/>
            </xdr:cNvSpPr>
          </xdr:nvSpPr>
          <xdr:spPr>
            <a:xfrm>
              <a:off x="84322" y="26007717"/>
              <a:ext cx="1817914" cy="16500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73422</xdr:colOff>
      <xdr:row>138</xdr:row>
      <xdr:rowOff>154865</xdr:rowOff>
    </xdr:from>
    <xdr:to>
      <xdr:col>0</xdr:col>
      <xdr:colOff>1880450</xdr:colOff>
      <xdr:row>147</xdr:row>
      <xdr:rowOff>89011</xdr:rowOff>
    </xdr:to>
    <mc:AlternateContent xmlns:mc="http://schemas.openxmlformats.org/markup-compatibility/2006" xmlns:a14="http://schemas.microsoft.com/office/drawing/2010/main">
      <mc:Choice Requires="a14">
        <xdr:graphicFrame macro="">
          <xdr:nvGraphicFramePr>
            <xdr:cNvPr id="54" name="4th Modular (Grade) 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microsoft.com/office/drawing/2010/slicer">
              <sle:slicer xmlns:sle="http://schemas.microsoft.com/office/drawing/2010/slicer" name="4th Modular (Grade) 3"/>
            </a:graphicData>
          </a:graphic>
        </xdr:graphicFrame>
      </mc:Choice>
      <mc:Fallback xmlns="">
        <xdr:sp macro="" textlink="">
          <xdr:nvSpPr>
            <xdr:cNvPr id="0" name=""/>
            <xdr:cNvSpPr>
              <a:spLocks noTextEdit="1"/>
            </xdr:cNvSpPr>
          </xdr:nvSpPr>
          <xdr:spPr>
            <a:xfrm>
              <a:off x="73422" y="27705928"/>
              <a:ext cx="1807028" cy="16486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1966539</xdr:colOff>
      <xdr:row>121</xdr:row>
      <xdr:rowOff>67233</xdr:rowOff>
    </xdr:from>
    <xdr:to>
      <xdr:col>0</xdr:col>
      <xdr:colOff>3796145</xdr:colOff>
      <xdr:row>129</xdr:row>
      <xdr:rowOff>122472</xdr:rowOff>
    </xdr:to>
    <mc:AlternateContent xmlns:mc="http://schemas.openxmlformats.org/markup-compatibility/2006" xmlns:a14="http://schemas.microsoft.com/office/drawing/2010/main">
      <mc:Choice Requires="a14">
        <xdr:graphicFrame macro="">
          <xdr:nvGraphicFramePr>
            <xdr:cNvPr id="56" name="2nd Mock (Grade)5 2">
              <a:extLst>
                <a:ext uri="{FF2B5EF4-FFF2-40B4-BE49-F238E27FC236}">
                  <a16:creationId xmlns:a16="http://schemas.microsoft.com/office/drawing/2014/main" id="{00000000-0008-0000-0600-000038000000}"/>
                </a:ext>
              </a:extLst>
            </xdr:cNvPr>
            <xdr:cNvGraphicFramePr/>
          </xdr:nvGraphicFramePr>
          <xdr:xfrm>
            <a:off x="0" y="0"/>
            <a:ext cx="0" cy="0"/>
          </xdr:xfrm>
          <a:graphic>
            <a:graphicData uri="http://schemas.microsoft.com/office/drawing/2010/slicer">
              <sle:slicer xmlns:sle="http://schemas.microsoft.com/office/drawing/2010/slicer" name="2nd Mock (Grade)5 2"/>
            </a:graphicData>
          </a:graphic>
        </xdr:graphicFrame>
      </mc:Choice>
      <mc:Fallback xmlns="">
        <xdr:sp macro="" textlink="">
          <xdr:nvSpPr>
            <xdr:cNvPr id="0" name=""/>
            <xdr:cNvSpPr>
              <a:spLocks noTextEdit="1"/>
            </xdr:cNvSpPr>
          </xdr:nvSpPr>
          <xdr:spPr>
            <a:xfrm>
              <a:off x="1966539" y="23647669"/>
              <a:ext cx="1829606" cy="14961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1963741</xdr:colOff>
      <xdr:row>129</xdr:row>
      <xdr:rowOff>159177</xdr:rowOff>
    </xdr:from>
    <xdr:to>
      <xdr:col>0</xdr:col>
      <xdr:colOff>3803676</xdr:colOff>
      <xdr:row>138</xdr:row>
      <xdr:rowOff>84932</xdr:rowOff>
    </xdr:to>
    <mc:AlternateContent xmlns:mc="http://schemas.openxmlformats.org/markup-compatibility/2006" xmlns:a14="http://schemas.microsoft.com/office/drawing/2010/main">
      <mc:Choice Requires="a14">
        <xdr:graphicFrame macro="">
          <xdr:nvGraphicFramePr>
            <xdr:cNvPr id="57" name="3rd Mock (Grade)7 2">
              <a:extLst>
                <a:ext uri="{FF2B5EF4-FFF2-40B4-BE49-F238E27FC236}">
                  <a16:creationId xmlns:a16="http://schemas.microsoft.com/office/drawing/2014/main" id="{00000000-0008-0000-0600-000039000000}"/>
                </a:ext>
              </a:extLst>
            </xdr:cNvPr>
            <xdr:cNvGraphicFramePr/>
          </xdr:nvGraphicFramePr>
          <xdr:xfrm>
            <a:off x="0" y="0"/>
            <a:ext cx="0" cy="0"/>
          </xdr:xfrm>
          <a:graphic>
            <a:graphicData uri="http://schemas.microsoft.com/office/drawing/2010/slicer">
              <sle:slicer xmlns:sle="http://schemas.microsoft.com/office/drawing/2010/slicer" name="3rd Mock (Grade)7 2"/>
            </a:graphicData>
          </a:graphic>
        </xdr:graphicFrame>
      </mc:Choice>
      <mc:Fallback xmlns="">
        <xdr:sp macro="" textlink="">
          <xdr:nvSpPr>
            <xdr:cNvPr id="0" name=""/>
            <xdr:cNvSpPr>
              <a:spLocks noTextEdit="1"/>
            </xdr:cNvSpPr>
          </xdr:nvSpPr>
          <xdr:spPr>
            <a:xfrm>
              <a:off x="1963741" y="25180486"/>
              <a:ext cx="1839935" cy="15467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1938984</xdr:colOff>
      <xdr:row>138</xdr:row>
      <xdr:rowOff>161370</xdr:rowOff>
    </xdr:from>
    <xdr:to>
      <xdr:col>0</xdr:col>
      <xdr:colOff>3810000</xdr:colOff>
      <xdr:row>147</xdr:row>
      <xdr:rowOff>75154</xdr:rowOff>
    </xdr:to>
    <mc:AlternateContent xmlns:mc="http://schemas.openxmlformats.org/markup-compatibility/2006" xmlns:a14="http://schemas.microsoft.com/office/drawing/2010/main">
      <mc:Choice Requires="a14">
        <xdr:graphicFrame macro="">
          <xdr:nvGraphicFramePr>
            <xdr:cNvPr id="58" name="4th Mock (Grade)9 1">
              <a:extLst>
                <a:ext uri="{FF2B5EF4-FFF2-40B4-BE49-F238E27FC236}">
                  <a16:creationId xmlns:a16="http://schemas.microsoft.com/office/drawing/2014/main" id="{00000000-0008-0000-0600-00003A000000}"/>
                </a:ext>
              </a:extLst>
            </xdr:cNvPr>
            <xdr:cNvGraphicFramePr/>
          </xdr:nvGraphicFramePr>
          <xdr:xfrm>
            <a:off x="0" y="0"/>
            <a:ext cx="0" cy="0"/>
          </xdr:xfrm>
          <a:graphic>
            <a:graphicData uri="http://schemas.microsoft.com/office/drawing/2010/slicer">
              <sle:slicer xmlns:sle="http://schemas.microsoft.com/office/drawing/2010/slicer" name="4th Mock (Grade)9 1"/>
            </a:graphicData>
          </a:graphic>
        </xdr:graphicFrame>
      </mc:Choice>
      <mc:Fallback xmlns="">
        <xdr:sp macro="" textlink="">
          <xdr:nvSpPr>
            <xdr:cNvPr id="0" name=""/>
            <xdr:cNvSpPr>
              <a:spLocks noTextEdit="1"/>
            </xdr:cNvSpPr>
          </xdr:nvSpPr>
          <xdr:spPr>
            <a:xfrm>
              <a:off x="1938984" y="27712433"/>
              <a:ext cx="1807029" cy="162828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1993977</xdr:colOff>
      <xdr:row>112</xdr:row>
      <xdr:rowOff>133132</xdr:rowOff>
    </xdr:from>
    <xdr:to>
      <xdr:col>0</xdr:col>
      <xdr:colOff>3803981</xdr:colOff>
      <xdr:row>120</xdr:row>
      <xdr:rowOff>138546</xdr:rowOff>
    </xdr:to>
    <mc:AlternateContent xmlns:mc="http://schemas.openxmlformats.org/markup-compatibility/2006" xmlns:a14="http://schemas.microsoft.com/office/drawing/2010/main">
      <mc:Choice Requires="a14">
        <xdr:graphicFrame macro="">
          <xdr:nvGraphicFramePr>
            <xdr:cNvPr id="59" name="1st Mock (Grade)3 3">
              <a:extLst>
                <a:ext uri="{FF2B5EF4-FFF2-40B4-BE49-F238E27FC236}">
                  <a16:creationId xmlns:a16="http://schemas.microsoft.com/office/drawing/2014/main" id="{00000000-0008-0000-0600-00003B000000}"/>
                </a:ext>
              </a:extLst>
            </xdr:cNvPr>
            <xdr:cNvGraphicFramePr/>
          </xdr:nvGraphicFramePr>
          <xdr:xfrm>
            <a:off x="0" y="0"/>
            <a:ext cx="0" cy="0"/>
          </xdr:xfrm>
          <a:graphic>
            <a:graphicData uri="http://schemas.microsoft.com/office/drawing/2010/slicer">
              <sle:slicer xmlns:sle="http://schemas.microsoft.com/office/drawing/2010/slicer" name="1st Mock (Grade)3 3"/>
            </a:graphicData>
          </a:graphic>
        </xdr:graphicFrame>
      </mc:Choice>
      <mc:Fallback xmlns="">
        <xdr:sp macro="" textlink="">
          <xdr:nvSpPr>
            <xdr:cNvPr id="0" name=""/>
            <xdr:cNvSpPr>
              <a:spLocks noTextEdit="1"/>
            </xdr:cNvSpPr>
          </xdr:nvSpPr>
          <xdr:spPr>
            <a:xfrm>
              <a:off x="1993977" y="21912477"/>
              <a:ext cx="1810004" cy="1626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327561</xdr:colOff>
      <xdr:row>150</xdr:row>
      <xdr:rowOff>99951</xdr:rowOff>
    </xdr:from>
    <xdr:to>
      <xdr:col>0</xdr:col>
      <xdr:colOff>1366652</xdr:colOff>
      <xdr:row>154</xdr:row>
      <xdr:rowOff>58386</xdr:rowOff>
    </xdr:to>
    <xdr:sp macro="[0]!Macro28" textlink="">
      <xdr:nvSpPr>
        <xdr:cNvPr id="60" name="Arrow: Left 59">
          <a:extLst>
            <a:ext uri="{FF2B5EF4-FFF2-40B4-BE49-F238E27FC236}">
              <a16:creationId xmlns:a16="http://schemas.microsoft.com/office/drawing/2014/main" id="{00000000-0008-0000-0600-00003C000000}"/>
            </a:ext>
          </a:extLst>
        </xdr:cNvPr>
        <xdr:cNvSpPr/>
      </xdr:nvSpPr>
      <xdr:spPr>
        <a:xfrm>
          <a:off x="327561" y="29534922"/>
          <a:ext cx="1039091" cy="86195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Back</a:t>
          </a:r>
        </a:p>
      </xdr:txBody>
    </xdr:sp>
    <xdr:clientData/>
  </xdr:twoCellAnchor>
  <xdr:twoCellAnchor>
    <xdr:from>
      <xdr:col>0</xdr:col>
      <xdr:colOff>1449477</xdr:colOff>
      <xdr:row>151</xdr:row>
      <xdr:rowOff>119743</xdr:rowOff>
    </xdr:from>
    <xdr:to>
      <xdr:col>0</xdr:col>
      <xdr:colOff>2340428</xdr:colOff>
      <xdr:row>153</xdr:row>
      <xdr:rowOff>28097</xdr:rowOff>
    </xdr:to>
    <xdr:sp macro="[0]!Macro29" textlink="">
      <xdr:nvSpPr>
        <xdr:cNvPr id="61" name="Rectangle 60">
          <a:extLst>
            <a:ext uri="{FF2B5EF4-FFF2-40B4-BE49-F238E27FC236}">
              <a16:creationId xmlns:a16="http://schemas.microsoft.com/office/drawing/2014/main" id="{00000000-0008-0000-0600-00003D000000}"/>
            </a:ext>
          </a:extLst>
        </xdr:cNvPr>
        <xdr:cNvSpPr/>
      </xdr:nvSpPr>
      <xdr:spPr>
        <a:xfrm>
          <a:off x="1449477" y="29739772"/>
          <a:ext cx="890951" cy="44175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Menu</a:t>
          </a:r>
        </a:p>
      </xdr:txBody>
    </xdr:sp>
    <xdr:clientData/>
  </xdr:twoCellAnchor>
  <xdr:twoCellAnchor>
    <xdr:from>
      <xdr:col>0</xdr:col>
      <xdr:colOff>2429407</xdr:colOff>
      <xdr:row>150</xdr:row>
      <xdr:rowOff>99864</xdr:rowOff>
    </xdr:from>
    <xdr:to>
      <xdr:col>0</xdr:col>
      <xdr:colOff>3542589</xdr:colOff>
      <xdr:row>154</xdr:row>
      <xdr:rowOff>33603</xdr:rowOff>
    </xdr:to>
    <xdr:sp macro="[0]!Macro31" textlink="">
      <xdr:nvSpPr>
        <xdr:cNvPr id="62" name="Arrow: Right 61">
          <a:extLst>
            <a:ext uri="{FF2B5EF4-FFF2-40B4-BE49-F238E27FC236}">
              <a16:creationId xmlns:a16="http://schemas.microsoft.com/office/drawing/2014/main" id="{00000000-0008-0000-0600-00003E000000}"/>
            </a:ext>
          </a:extLst>
        </xdr:cNvPr>
        <xdr:cNvSpPr/>
      </xdr:nvSpPr>
      <xdr:spPr>
        <a:xfrm>
          <a:off x="2429407" y="29534835"/>
          <a:ext cx="1113182" cy="837254"/>
        </a:xfrm>
        <a:prstGeom prst="rightArrow">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Next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353786</xdr:colOff>
      <xdr:row>3</xdr:row>
      <xdr:rowOff>0</xdr:rowOff>
    </xdr:from>
    <xdr:to>
      <xdr:col>12</xdr:col>
      <xdr:colOff>119149</xdr:colOff>
      <xdr:row>30</xdr:row>
      <xdr:rowOff>83721</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408214</xdr:colOff>
      <xdr:row>3</xdr:row>
      <xdr:rowOff>40822</xdr:rowOff>
    </xdr:from>
    <xdr:to>
      <xdr:col>26</xdr:col>
      <xdr:colOff>432920</xdr:colOff>
      <xdr:row>30</xdr:row>
      <xdr:rowOff>132565</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394605</xdr:colOff>
      <xdr:row>36</xdr:row>
      <xdr:rowOff>81643</xdr:rowOff>
    </xdr:from>
    <xdr:to>
      <xdr:col>12</xdr:col>
      <xdr:colOff>290170</xdr:colOff>
      <xdr:row>63</xdr:row>
      <xdr:rowOff>27214</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452745</xdr:colOff>
      <xdr:row>36</xdr:row>
      <xdr:rowOff>133597</xdr:rowOff>
    </xdr:from>
    <xdr:to>
      <xdr:col>26</xdr:col>
      <xdr:colOff>557893</xdr:colOff>
      <xdr:row>63</xdr:row>
      <xdr:rowOff>74753</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408214</xdr:colOff>
      <xdr:row>68</xdr:row>
      <xdr:rowOff>64209</xdr:rowOff>
    </xdr:from>
    <xdr:to>
      <xdr:col>12</xdr:col>
      <xdr:colOff>272143</xdr:colOff>
      <xdr:row>93</xdr:row>
      <xdr:rowOff>66248</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480703</xdr:colOff>
      <xdr:row>68</xdr:row>
      <xdr:rowOff>54429</xdr:rowOff>
    </xdr:from>
    <xdr:to>
      <xdr:col>26</xdr:col>
      <xdr:colOff>598714</xdr:colOff>
      <xdr:row>93</xdr:row>
      <xdr:rowOff>140408</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122464</xdr:colOff>
      <xdr:row>96</xdr:row>
      <xdr:rowOff>149679</xdr:rowOff>
    </xdr:from>
    <xdr:to>
      <xdr:col>1</xdr:col>
      <xdr:colOff>585108</xdr:colOff>
      <xdr:row>100</xdr:row>
      <xdr:rowOff>81643</xdr:rowOff>
    </xdr:to>
    <xdr:sp macro="[0]!Macro33" textlink="">
      <xdr:nvSpPr>
        <xdr:cNvPr id="3" name="Left Arrow 2">
          <a:extLst>
            <a:ext uri="{FF2B5EF4-FFF2-40B4-BE49-F238E27FC236}">
              <a16:creationId xmlns:a16="http://schemas.microsoft.com/office/drawing/2014/main" id="{00000000-0008-0000-0700-000003000000}"/>
            </a:ext>
          </a:extLst>
        </xdr:cNvPr>
        <xdr:cNvSpPr/>
      </xdr:nvSpPr>
      <xdr:spPr>
        <a:xfrm>
          <a:off x="122464" y="18437679"/>
          <a:ext cx="1074965" cy="693964"/>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Back</a:t>
          </a:r>
          <a:endParaRPr lang="en-GB" sz="1100"/>
        </a:p>
      </xdr:txBody>
    </xdr:sp>
    <xdr:clientData/>
  </xdr:twoCellAnchor>
  <xdr:twoCellAnchor>
    <xdr:from>
      <xdr:col>2</xdr:col>
      <xdr:colOff>108858</xdr:colOff>
      <xdr:row>97</xdr:row>
      <xdr:rowOff>122465</xdr:rowOff>
    </xdr:from>
    <xdr:to>
      <xdr:col>3</xdr:col>
      <xdr:colOff>258537</xdr:colOff>
      <xdr:row>99</xdr:row>
      <xdr:rowOff>95251</xdr:rowOff>
    </xdr:to>
    <xdr:sp macro="[0]!Macro32" textlink="">
      <xdr:nvSpPr>
        <xdr:cNvPr id="9" name="Rectangle 8">
          <a:extLst>
            <a:ext uri="{FF2B5EF4-FFF2-40B4-BE49-F238E27FC236}">
              <a16:creationId xmlns:a16="http://schemas.microsoft.com/office/drawing/2014/main" id="{00000000-0008-0000-0700-000009000000}"/>
            </a:ext>
          </a:extLst>
        </xdr:cNvPr>
        <xdr:cNvSpPr/>
      </xdr:nvSpPr>
      <xdr:spPr>
        <a:xfrm>
          <a:off x="1333501" y="18600965"/>
          <a:ext cx="762000" cy="35378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Menu</a:t>
          </a:r>
        </a:p>
      </xdr:txBody>
    </xdr:sp>
    <xdr:clientData/>
  </xdr:twoCellAnchor>
  <xdr:twoCellAnchor>
    <xdr:from>
      <xdr:col>3</xdr:col>
      <xdr:colOff>394609</xdr:colOff>
      <xdr:row>96</xdr:row>
      <xdr:rowOff>163285</xdr:rowOff>
    </xdr:from>
    <xdr:to>
      <xdr:col>5</xdr:col>
      <xdr:colOff>285751</xdr:colOff>
      <xdr:row>100</xdr:row>
      <xdr:rowOff>40823</xdr:rowOff>
    </xdr:to>
    <xdr:sp macro="" textlink="">
      <xdr:nvSpPr>
        <xdr:cNvPr id="10" name="Right Arrow 9">
          <a:extLst>
            <a:ext uri="{FF2B5EF4-FFF2-40B4-BE49-F238E27FC236}">
              <a16:creationId xmlns:a16="http://schemas.microsoft.com/office/drawing/2014/main" id="{00000000-0008-0000-0700-00000A000000}"/>
            </a:ext>
          </a:extLst>
        </xdr:cNvPr>
        <xdr:cNvSpPr/>
      </xdr:nvSpPr>
      <xdr:spPr>
        <a:xfrm>
          <a:off x="2231573" y="18451285"/>
          <a:ext cx="1115785" cy="639538"/>
        </a:xfrm>
        <a:prstGeom prst="rightArrow">
          <a:avLst/>
        </a:prstGeom>
        <a:solidFill>
          <a:schemeClr val="bg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Next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ullah" refreshedDate="44128.870618055553" createdVersion="6" refreshedVersion="6" minRefreshableVersion="3" recordCount="30" xr:uid="{00000000-000A-0000-FFFF-FFFF00000000}">
  <cacheSource type="worksheet">
    <worksheetSource ref="D48:Z78" sheet="resourse"/>
  </cacheSource>
  <cacheFields count="23">
    <cacheField name="Student Name" numFmtId="0">
      <sharedItems count="30">
        <s v="Aja"/>
        <s v="Alton"/>
        <s v="Andera"/>
        <s v="Babara"/>
        <s v="Boyce"/>
        <s v="Brent"/>
        <s v="Cecil"/>
        <s v="Ciara"/>
        <s v="Debbra"/>
        <s v="Drucilla"/>
        <s v="Georgina"/>
        <s v="Gerri"/>
        <s v="Glen"/>
        <s v="Joan"/>
        <s v="Jospeh"/>
        <s v="Keneth"/>
        <s v="Kum"/>
        <s v="Laveta"/>
        <s v="Leif"/>
        <s v="Lilia"/>
        <s v="Marth"/>
        <s v="Meagan"/>
        <s v="Meaghan"/>
        <s v="Merideth"/>
        <s v="Mittie"/>
        <s v="Norene"/>
        <s v="Norine"/>
        <s v="Shirley"/>
        <s v="Starr"/>
        <s v="Velia"/>
      </sharedItems>
    </cacheField>
    <cacheField name="1st Modular (Mark)" numFmtId="0">
      <sharedItems containsSemiMixedTypes="0" containsString="0" containsNumber="1" containsInteger="1" minValue="1" maxValue="50"/>
    </cacheField>
    <cacheField name="1st Modular (Grade)" numFmtId="0">
      <sharedItems count="4">
        <s v="No Grade"/>
        <s v="Pass"/>
        <s v="Merit"/>
        <s v="Distinction"/>
      </sharedItems>
    </cacheField>
    <cacheField name="2nd Exam (Mark)" numFmtId="0">
      <sharedItems containsSemiMixedTypes="0" containsString="0" containsNumber="1" containsInteger="1" minValue="4" maxValue="50"/>
    </cacheField>
    <cacheField name="2nd Modular (Grade)" numFmtId="0">
      <sharedItems count="4">
        <s v="Pass"/>
        <s v="Distinction"/>
        <s v="No Grade"/>
        <s v="Merit"/>
      </sharedItems>
    </cacheField>
    <cacheField name="3ed Modular (Mark)" numFmtId="0">
      <sharedItems containsSemiMixedTypes="0" containsString="0" containsNumber="1" containsInteger="1" minValue="2" maxValue="50"/>
    </cacheField>
    <cacheField name="3ed Modular (Grade)" numFmtId="0">
      <sharedItems count="4">
        <s v="Pass"/>
        <s v="Distinction"/>
        <s v="Merit"/>
        <s v="No Grade"/>
      </sharedItems>
    </cacheField>
    <cacheField name="4th Modular (Mark)" numFmtId="0">
      <sharedItems containsSemiMixedTypes="0" containsString="0" containsNumber="1" containsInteger="1" minValue="1" maxValue="50"/>
    </cacheField>
    <cacheField name="4th Modular (Grade)" numFmtId="0">
      <sharedItems count="4">
        <s v="Pass"/>
        <s v="Distinction"/>
        <s v="Merit"/>
        <s v="No Grade"/>
      </sharedItems>
    </cacheField>
    <cacheField name="Max Mark" numFmtId="0">
      <sharedItems containsSemiMixedTypes="0" containsString="0" containsNumber="1" containsInteger="1" minValue="9" maxValue="50"/>
    </cacheField>
    <cacheField name="Min Mark" numFmtId="0">
      <sharedItems containsSemiMixedTypes="0" containsString="0" containsNumber="1" containsInteger="1" minValue="1" maxValue="50"/>
    </cacheField>
    <cacheField name="Total Mrak" numFmtId="0">
      <sharedItems containsSemiMixedTypes="0" containsString="0" containsNumber="1" containsInteger="1" minValue="20" maxValue="200"/>
    </cacheField>
    <cacheField name="1st Mock (Mark)2" numFmtId="0">
      <sharedItems containsSemiMixedTypes="0" containsString="0" containsNumber="1" containsInteger="1" minValue="1" maxValue="50"/>
    </cacheField>
    <cacheField name="1st Mock (Grade)3" numFmtId="0">
      <sharedItems count="4">
        <s v="Distinction"/>
        <s v="No Grade"/>
        <s v="Pass"/>
        <s v="Merit"/>
      </sharedItems>
    </cacheField>
    <cacheField name="2nd Mock (Mark)4" numFmtId="0">
      <sharedItems containsSemiMixedTypes="0" containsString="0" containsNumber="1" containsInteger="1" minValue="3" maxValue="50"/>
    </cacheField>
    <cacheField name="2nd Mock (Grade)5" numFmtId="0">
      <sharedItems count="4">
        <s v="Pass"/>
        <s v="No Grade"/>
        <s v="Merit"/>
        <s v="Distinction"/>
      </sharedItems>
    </cacheField>
    <cacheField name="3ed Mock (Mark)6" numFmtId="0">
      <sharedItems containsSemiMixedTypes="0" containsString="0" containsNumber="1" containsInteger="1" minValue="0" maxValue="50"/>
    </cacheField>
    <cacheField name="3ed Mock (Grade)7" numFmtId="0">
      <sharedItems count="4">
        <s v="Merit"/>
        <s v="Pass"/>
        <s v="Distinction"/>
        <s v="No Grade"/>
      </sharedItems>
    </cacheField>
    <cacheField name="4th Mock (Mark)8" numFmtId="0">
      <sharedItems containsSemiMixedTypes="0" containsString="0" containsNumber="1" containsInteger="1" minValue="0" maxValue="50"/>
    </cacheField>
    <cacheField name="4th Mock (Grade)9" numFmtId="0">
      <sharedItems count="4">
        <s v="Merit"/>
        <s v="Pass"/>
        <s v="Distinction"/>
        <s v="No Grade"/>
      </sharedItems>
    </cacheField>
    <cacheField name="Max Mark10" numFmtId="0">
      <sharedItems containsSemiMixedTypes="0" containsString="0" containsNumber="1" containsInteger="1" minValue="13" maxValue="50"/>
    </cacheField>
    <cacheField name="Min Mark11" numFmtId="0">
      <sharedItems containsSemiMixedTypes="0" containsString="0" containsNumber="1" containsInteger="1" minValue="0" maxValue="50"/>
    </cacheField>
    <cacheField name="Total Mrak12" numFmtId="0">
      <sharedItems containsSemiMixedTypes="0" containsString="0" containsNumber="1" containsInteger="1" minValue="16" maxValue="200"/>
    </cacheField>
  </cacheFields>
  <extLst>
    <ext xmlns:x14="http://schemas.microsoft.com/office/spreadsheetml/2009/9/main" uri="{725AE2AE-9491-48be-B2B4-4EB974FC3084}">
      <x14:pivotCacheDefinition pivotCacheId="87783695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ullah" refreshedDate="44128.903347222222" createdVersion="6" refreshedVersion="6" minRefreshableVersion="3" recordCount="30" xr:uid="{00000000-000A-0000-FFFF-FFFF01000000}">
  <cacheSource type="worksheet">
    <worksheetSource ref="D82:Z112" sheet="resourse"/>
  </cacheSource>
  <cacheFields count="23">
    <cacheField name="Student Name" numFmtId="0">
      <sharedItems count="30">
        <s v="Annabel"/>
        <s v="Aurea"/>
        <s v="Barabara"/>
        <s v="Carie"/>
        <s v="Catherin"/>
        <s v="Chanel"/>
        <s v="Clare"/>
        <s v="Clarisa"/>
        <s v="Daine"/>
        <s v="Dante"/>
        <s v="Erlene"/>
        <s v="Flavia"/>
        <s v="Fumiko"/>
        <s v="Gilda"/>
        <s v="Ivory"/>
        <s v="Julio"/>
        <s v="Kenton"/>
        <s v="Lavera"/>
        <s v="Leoma"/>
        <s v="Marget"/>
        <s v="Mica"/>
        <s v="Neta"/>
        <s v="Oliver"/>
        <s v="Porsha"/>
        <s v="Rogelio"/>
        <s v="Roselia"/>
        <s v="Sheila"/>
        <s v="Susan"/>
        <s v="Vernita"/>
        <s v="Vikki"/>
      </sharedItems>
    </cacheField>
    <cacheField name="1st Modular (Mark)" numFmtId="0">
      <sharedItems containsSemiMixedTypes="0" containsString="0" containsNumber="1" containsInteger="1" minValue="3" maxValue="50"/>
    </cacheField>
    <cacheField name="1st Modular (Grade)" numFmtId="0">
      <sharedItems count="4">
        <s v="Pass"/>
        <s v="Merit"/>
        <s v="No Grade"/>
        <s v="Distinction"/>
      </sharedItems>
    </cacheField>
    <cacheField name="2nd Exam (Mark)" numFmtId="0">
      <sharedItems containsSemiMixedTypes="0" containsString="0" containsNumber="1" containsInteger="1" minValue="2" maxValue="50"/>
    </cacheField>
    <cacheField name="2nd Modular (Grade)" numFmtId="0">
      <sharedItems count="4">
        <s v="No Grade"/>
        <s v="Merit"/>
        <s v="Distinction"/>
        <s v="Pass"/>
      </sharedItems>
    </cacheField>
    <cacheField name="3ed Modular (Mark)" numFmtId="0">
      <sharedItems containsSemiMixedTypes="0" containsString="0" containsNumber="1" containsInteger="1" minValue="3" maxValue="50"/>
    </cacheField>
    <cacheField name="3ed Modular (Grade)" numFmtId="0">
      <sharedItems count="4">
        <s v="Pass"/>
        <s v="Distinction"/>
        <s v="Merit"/>
        <s v="No Grade"/>
      </sharedItems>
    </cacheField>
    <cacheField name="4th Modular (Mark)" numFmtId="0">
      <sharedItems containsSemiMixedTypes="0" containsString="0" containsNumber="1" containsInteger="1" minValue="1" maxValue="50"/>
    </cacheField>
    <cacheField name="4th Modular (Grade)" numFmtId="0">
      <sharedItems count="4">
        <s v="Pass"/>
        <s v="No Grade"/>
        <s v="Merit"/>
        <s v="Distinction"/>
      </sharedItems>
    </cacheField>
    <cacheField name="Max Mark" numFmtId="0">
      <sharedItems containsSemiMixedTypes="0" containsString="0" containsNumber="1" containsInteger="1" minValue="21" maxValue="50"/>
    </cacheField>
    <cacheField name="Min Mark" numFmtId="0">
      <sharedItems containsSemiMixedTypes="0" containsString="0" containsNumber="1" containsInteger="1" minValue="1" maxValue="50"/>
    </cacheField>
    <cacheField name="Total Mrak" numFmtId="0">
      <sharedItems containsSemiMixedTypes="0" containsString="0" containsNumber="1" containsInteger="1" minValue="51" maxValue="200"/>
    </cacheField>
    <cacheField name="1st Mock (Mark)2" numFmtId="0">
      <sharedItems containsSemiMixedTypes="0" containsString="0" containsNumber="1" containsInteger="1" minValue="1" maxValue="50"/>
    </cacheField>
    <cacheField name="1st Mock (Grade)3" numFmtId="0">
      <sharedItems count="4">
        <s v="Merit"/>
        <s v="Distinction"/>
        <s v="Pass"/>
        <s v="No Grade"/>
      </sharedItems>
    </cacheField>
    <cacheField name="2nd Mock (Mark)4" numFmtId="0">
      <sharedItems containsSemiMixedTypes="0" containsString="0" containsNumber="1" containsInteger="1" minValue="4" maxValue="50"/>
    </cacheField>
    <cacheField name="2nd Mock (Grade)5" numFmtId="0">
      <sharedItems count="4">
        <s v="Pass"/>
        <s v="Merit"/>
        <s v="Distinction"/>
        <s v="No Grade"/>
      </sharedItems>
    </cacheField>
    <cacheField name="3ed Mock (Mark)6" numFmtId="0">
      <sharedItems containsSemiMixedTypes="0" containsString="0" containsNumber="1" containsInteger="1" minValue="1" maxValue="50"/>
    </cacheField>
    <cacheField name="3ed Mock (Grade)7" numFmtId="0">
      <sharedItems count="4">
        <s v="Pass"/>
        <s v="Merit"/>
        <s v="No Grade"/>
        <s v="Distinction"/>
      </sharedItems>
    </cacheField>
    <cacheField name="4th Mock (Mark)8" numFmtId="0">
      <sharedItems containsSemiMixedTypes="0" containsString="0" containsNumber="1" containsInteger="1" minValue="1" maxValue="50"/>
    </cacheField>
    <cacheField name="4th Mock (Grade)9" numFmtId="0">
      <sharedItems count="4">
        <s v="Merit"/>
        <s v="Pass"/>
        <s v="Distinction"/>
        <s v="No Grade"/>
      </sharedItems>
    </cacheField>
    <cacheField name="Max Mark10" numFmtId="0">
      <sharedItems containsSemiMixedTypes="0" containsString="0" containsNumber="1" containsInteger="1" minValue="17" maxValue="50"/>
    </cacheField>
    <cacheField name="Min Mark11" numFmtId="0">
      <sharedItems containsSemiMixedTypes="0" containsString="0" containsNumber="1" containsInteger="1" minValue="1" maxValue="29"/>
    </cacheField>
    <cacheField name="Total Mrak12" numFmtId="0">
      <sharedItems containsSemiMixedTypes="0" containsString="0" containsNumber="1" containsInteger="1" minValue="40" maxValue="162"/>
    </cacheField>
  </cacheFields>
  <extLst>
    <ext xmlns:x14="http://schemas.microsoft.com/office/spreadsheetml/2009/9/main" uri="{725AE2AE-9491-48be-B2B4-4EB974FC3084}">
      <x14:pivotCacheDefinition pivotCacheId="19022231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ullah" refreshedDate="44132.97015335648" createdVersion="6" refreshedVersion="6" minRefreshableVersion="3" recordCount="30" xr:uid="{00000000-000A-0000-FFFF-FFFF02000000}">
  <cacheSource type="worksheet">
    <worksheetSource name="Level1"/>
  </cacheSource>
  <cacheFields count="23">
    <cacheField name="Student Name" numFmtId="0">
      <sharedItems count="30">
        <s v="Anette"/>
        <s v="Arlyne"/>
        <s v="Beau"/>
        <s v="Belia"/>
        <s v="Britney"/>
        <s v="Celesta"/>
        <s v="Claudie"/>
        <s v="Doretha"/>
        <s v="Doug"/>
        <s v="Eli"/>
        <s v="Elvia"/>
        <s v="Ernesto"/>
        <s v="Faustino"/>
        <s v="Fredericka"/>
        <s v="Izola"/>
        <s v="Jc"/>
        <s v="Joi"/>
        <s v="Jonnie"/>
        <s v="Juliette"/>
        <s v="Julissa"/>
        <s v="Kaitlyn"/>
        <s v="Keren"/>
        <s v="Laticia"/>
        <s v="Laura"/>
        <s v="Leon"/>
        <s v="Mee"/>
        <s v="Shawnna"/>
        <s v="Shirly"/>
        <s v="Tobie"/>
        <s v="Waylon"/>
      </sharedItems>
    </cacheField>
    <cacheField name="1st Modular (Mark)" numFmtId="0">
      <sharedItems containsSemiMixedTypes="0" containsString="0" containsNumber="1" containsInteger="1" minValue="2" maxValue="50"/>
    </cacheField>
    <cacheField name="1st Modular (Grade)" numFmtId="0">
      <sharedItems count="4">
        <s v="No Grade"/>
        <s v="Pass"/>
        <s v="Merit"/>
        <s v="Distinction"/>
      </sharedItems>
    </cacheField>
    <cacheField name="2nd Exam (Mark)" numFmtId="0">
      <sharedItems containsSemiMixedTypes="0" containsString="0" containsNumber="1" containsInteger="1" minValue="2" maxValue="50"/>
    </cacheField>
    <cacheField name="2nd Modular (Grade)" numFmtId="0">
      <sharedItems count="4">
        <s v="Pass"/>
        <s v="Merit"/>
        <s v="Distinction"/>
        <s v="No Grade"/>
      </sharedItems>
    </cacheField>
    <cacheField name="3ed Modular (Mark)" numFmtId="0">
      <sharedItems containsSemiMixedTypes="0" containsString="0" containsNumber="1" containsInteger="1" minValue="1" maxValue="50"/>
    </cacheField>
    <cacheField name="3ed Modular (Grade)" numFmtId="0">
      <sharedItems count="4">
        <s v="Pass"/>
        <s v="No Grade"/>
        <s v="Merit"/>
        <s v="Distinction"/>
      </sharedItems>
    </cacheField>
    <cacheField name="4th Modular (Mark)" numFmtId="0">
      <sharedItems containsSemiMixedTypes="0" containsString="0" containsNumber="1" containsInteger="1" minValue="1" maxValue="50"/>
    </cacheField>
    <cacheField name="4th Modular (Grade)" numFmtId="0">
      <sharedItems count="4">
        <s v="Pass"/>
        <s v="Merit"/>
        <s v="No Grade"/>
        <s v="Distinction"/>
      </sharedItems>
    </cacheField>
    <cacheField name="Max Mark" numFmtId="0">
      <sharedItems containsSemiMixedTypes="0" containsString="0" containsNumber="1" containsInteger="1" minValue="20" maxValue="50"/>
    </cacheField>
    <cacheField name="Min Mark" numFmtId="0">
      <sharedItems containsSemiMixedTypes="0" containsString="0" containsNumber="1" containsInteger="1" minValue="1" maxValue="50"/>
    </cacheField>
    <cacheField name="Total Mrak" numFmtId="0">
      <sharedItems containsSemiMixedTypes="0" containsString="0" containsNumber="1" containsInteger="1" minValue="37" maxValue="200"/>
    </cacheField>
    <cacheField name="1st Mock (Mark)2" numFmtId="0">
      <sharedItems containsSemiMixedTypes="0" containsString="0" containsNumber="1" containsInteger="1" minValue="0" maxValue="49"/>
    </cacheField>
    <cacheField name="1st Mock (Grade)3" numFmtId="0">
      <sharedItems count="4">
        <s v="Pass"/>
        <s v="Distinction"/>
        <s v="Merit"/>
        <s v="No Grade"/>
      </sharedItems>
    </cacheField>
    <cacheField name="2nd Mock (Mark)4" numFmtId="0">
      <sharedItems containsSemiMixedTypes="0" containsString="0" containsNumber="1" containsInteger="1" minValue="0" maxValue="50"/>
    </cacheField>
    <cacheField name="2nd Mock (Grade)5" numFmtId="0">
      <sharedItems count="4">
        <s v="Distinction"/>
        <s v="No Grade"/>
        <s v="Merit"/>
        <s v="Pass"/>
      </sharedItems>
    </cacheField>
    <cacheField name="3ed Mock (Mark)6" numFmtId="0">
      <sharedItems containsSemiMixedTypes="0" containsString="0" containsNumber="1" containsInteger="1" minValue="4" maxValue="48"/>
    </cacheField>
    <cacheField name="3ed Mock (Grade)7" numFmtId="0">
      <sharedItems count="4">
        <s v="Merit"/>
        <s v="Pass"/>
        <s v="Distinction"/>
        <s v="No Grade"/>
      </sharedItems>
    </cacheField>
    <cacheField name="4th Mock (Mark)8" numFmtId="0">
      <sharedItems containsSemiMixedTypes="0" containsString="0" containsNumber="1" containsInteger="1" minValue="0" maxValue="48"/>
    </cacheField>
    <cacheField name="4th Mock (Grade)9" numFmtId="0">
      <sharedItems/>
    </cacheField>
    <cacheField name="Max Mark10" numFmtId="0">
      <sharedItems containsSemiMixedTypes="0" containsString="0" containsNumber="1" containsInteger="1" minValue="29" maxValue="50"/>
    </cacheField>
    <cacheField name="Min Mark11" numFmtId="0">
      <sharedItems containsSemiMixedTypes="0" containsString="0" containsNumber="1" containsInteger="1" minValue="0" maxValue="36"/>
    </cacheField>
    <cacheField name="Total Mrak12" numFmtId="0">
      <sharedItems containsSemiMixedTypes="0" containsString="0" containsNumber="1" containsInteger="1" minValue="50" maxValue="173"/>
    </cacheField>
  </cacheFields>
  <extLst>
    <ext xmlns:x14="http://schemas.microsoft.com/office/spreadsheetml/2009/9/main" uri="{725AE2AE-9491-48be-B2B4-4EB974FC3084}">
      <x14:pivotCacheDefinition pivotCacheId="6977618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n v="1"/>
    <x v="0"/>
    <n v="13"/>
    <x v="0"/>
    <n v="12"/>
    <x v="0"/>
    <n v="26"/>
    <x v="0"/>
    <n v="26"/>
    <n v="1"/>
    <n v="52"/>
    <n v="41"/>
    <x v="0"/>
    <n v="23"/>
    <x v="0"/>
    <n v="30"/>
    <x v="0"/>
    <n v="30"/>
    <x v="0"/>
    <n v="41"/>
    <n v="23"/>
    <n v="124"/>
  </r>
  <r>
    <x v="1"/>
    <n v="27"/>
    <x v="1"/>
    <n v="22"/>
    <x v="0"/>
    <n v="49"/>
    <x v="1"/>
    <n v="24"/>
    <x v="0"/>
    <n v="49"/>
    <n v="22"/>
    <n v="122"/>
    <n v="3"/>
    <x v="1"/>
    <n v="13"/>
    <x v="0"/>
    <n v="13"/>
    <x v="1"/>
    <n v="13"/>
    <x v="1"/>
    <n v="13"/>
    <n v="3"/>
    <n v="42"/>
  </r>
  <r>
    <x v="2"/>
    <n v="10"/>
    <x v="1"/>
    <n v="15"/>
    <x v="0"/>
    <n v="26"/>
    <x v="0"/>
    <n v="40"/>
    <x v="1"/>
    <n v="40"/>
    <n v="10"/>
    <n v="91"/>
    <n v="16"/>
    <x v="2"/>
    <n v="9"/>
    <x v="1"/>
    <n v="44"/>
    <x v="2"/>
    <n v="44"/>
    <x v="2"/>
    <n v="44"/>
    <n v="9"/>
    <n v="113"/>
  </r>
  <r>
    <x v="3"/>
    <n v="15"/>
    <x v="1"/>
    <n v="16"/>
    <x v="0"/>
    <n v="30"/>
    <x v="2"/>
    <n v="40"/>
    <x v="1"/>
    <n v="40"/>
    <n v="15"/>
    <n v="101"/>
    <n v="4"/>
    <x v="1"/>
    <n v="32"/>
    <x v="2"/>
    <n v="47"/>
    <x v="2"/>
    <n v="47"/>
    <x v="2"/>
    <n v="47"/>
    <n v="4"/>
    <n v="130"/>
  </r>
  <r>
    <x v="4"/>
    <n v="38"/>
    <x v="2"/>
    <n v="47"/>
    <x v="1"/>
    <n v="4"/>
    <x v="3"/>
    <n v="34"/>
    <x v="2"/>
    <n v="47"/>
    <n v="4"/>
    <n v="123"/>
    <n v="42"/>
    <x v="0"/>
    <n v="20"/>
    <x v="0"/>
    <n v="37"/>
    <x v="0"/>
    <n v="37"/>
    <x v="0"/>
    <n v="42"/>
    <n v="20"/>
    <n v="136"/>
  </r>
  <r>
    <x v="5"/>
    <n v="21"/>
    <x v="1"/>
    <n v="4"/>
    <x v="2"/>
    <n v="26"/>
    <x v="0"/>
    <n v="24"/>
    <x v="0"/>
    <n v="26"/>
    <n v="4"/>
    <n v="75"/>
    <n v="39"/>
    <x v="3"/>
    <n v="41"/>
    <x v="3"/>
    <n v="26"/>
    <x v="1"/>
    <n v="26"/>
    <x v="1"/>
    <n v="41"/>
    <n v="26"/>
    <n v="132"/>
  </r>
  <r>
    <x v="6"/>
    <n v="9"/>
    <x v="0"/>
    <n v="5"/>
    <x v="2"/>
    <n v="5"/>
    <x v="3"/>
    <n v="1"/>
    <x v="3"/>
    <n v="9"/>
    <n v="1"/>
    <n v="20"/>
    <n v="40"/>
    <x v="0"/>
    <n v="30"/>
    <x v="2"/>
    <n v="4"/>
    <x v="3"/>
    <n v="4"/>
    <x v="3"/>
    <n v="40"/>
    <n v="4"/>
    <n v="78"/>
  </r>
  <r>
    <x v="7"/>
    <n v="28"/>
    <x v="1"/>
    <n v="19"/>
    <x v="0"/>
    <n v="44"/>
    <x v="1"/>
    <n v="20"/>
    <x v="0"/>
    <n v="44"/>
    <n v="19"/>
    <n v="111"/>
    <n v="8"/>
    <x v="1"/>
    <n v="48"/>
    <x v="3"/>
    <n v="27"/>
    <x v="1"/>
    <n v="27"/>
    <x v="1"/>
    <n v="48"/>
    <n v="8"/>
    <n v="110"/>
  </r>
  <r>
    <x v="8"/>
    <n v="45"/>
    <x v="3"/>
    <n v="16"/>
    <x v="0"/>
    <n v="47"/>
    <x v="1"/>
    <n v="13"/>
    <x v="0"/>
    <n v="47"/>
    <n v="13"/>
    <n v="121"/>
    <n v="1"/>
    <x v="1"/>
    <n v="10"/>
    <x v="0"/>
    <n v="50"/>
    <x v="2"/>
    <n v="50"/>
    <x v="2"/>
    <n v="50"/>
    <n v="1"/>
    <n v="111"/>
  </r>
  <r>
    <x v="9"/>
    <n v="18"/>
    <x v="1"/>
    <n v="46"/>
    <x v="1"/>
    <n v="42"/>
    <x v="1"/>
    <n v="23"/>
    <x v="0"/>
    <n v="46"/>
    <n v="18"/>
    <n v="129"/>
    <n v="45"/>
    <x v="0"/>
    <n v="16"/>
    <x v="0"/>
    <n v="2"/>
    <x v="3"/>
    <n v="2"/>
    <x v="3"/>
    <n v="45"/>
    <n v="2"/>
    <n v="65"/>
  </r>
  <r>
    <x v="10"/>
    <n v="5"/>
    <x v="0"/>
    <n v="50"/>
    <x v="1"/>
    <n v="4"/>
    <x v="3"/>
    <n v="42"/>
    <x v="1"/>
    <n v="50"/>
    <n v="4"/>
    <n v="101"/>
    <n v="32"/>
    <x v="3"/>
    <n v="33"/>
    <x v="2"/>
    <n v="49"/>
    <x v="2"/>
    <n v="49"/>
    <x v="2"/>
    <n v="49"/>
    <n v="32"/>
    <n v="163"/>
  </r>
  <r>
    <x v="11"/>
    <n v="22"/>
    <x v="1"/>
    <n v="6"/>
    <x v="2"/>
    <n v="32"/>
    <x v="2"/>
    <n v="1"/>
    <x v="3"/>
    <n v="32"/>
    <n v="1"/>
    <n v="61"/>
    <n v="38"/>
    <x v="3"/>
    <n v="22"/>
    <x v="0"/>
    <n v="37"/>
    <x v="0"/>
    <n v="37"/>
    <x v="0"/>
    <n v="38"/>
    <n v="22"/>
    <n v="134"/>
  </r>
  <r>
    <x v="12"/>
    <n v="47"/>
    <x v="3"/>
    <n v="14"/>
    <x v="0"/>
    <n v="2"/>
    <x v="3"/>
    <n v="21"/>
    <x v="0"/>
    <n v="47"/>
    <n v="2"/>
    <n v="84"/>
    <n v="36"/>
    <x v="3"/>
    <n v="24"/>
    <x v="0"/>
    <n v="2"/>
    <x v="3"/>
    <n v="2"/>
    <x v="3"/>
    <n v="36"/>
    <n v="2"/>
    <n v="64"/>
  </r>
  <r>
    <x v="13"/>
    <n v="48"/>
    <x v="3"/>
    <n v="34"/>
    <x v="3"/>
    <n v="20"/>
    <x v="0"/>
    <n v="8"/>
    <x v="3"/>
    <n v="48"/>
    <n v="8"/>
    <n v="110"/>
    <n v="50"/>
    <x v="0"/>
    <n v="15"/>
    <x v="0"/>
    <n v="30"/>
    <x v="0"/>
    <n v="30"/>
    <x v="0"/>
    <n v="50"/>
    <n v="15"/>
    <n v="125"/>
  </r>
  <r>
    <x v="14"/>
    <n v="17"/>
    <x v="1"/>
    <n v="39"/>
    <x v="3"/>
    <n v="20"/>
    <x v="0"/>
    <n v="13"/>
    <x v="0"/>
    <n v="39"/>
    <n v="13"/>
    <n v="89"/>
    <n v="33"/>
    <x v="3"/>
    <n v="16"/>
    <x v="0"/>
    <n v="19"/>
    <x v="1"/>
    <n v="19"/>
    <x v="1"/>
    <n v="33"/>
    <n v="16"/>
    <n v="87"/>
  </r>
  <r>
    <x v="15"/>
    <n v="34"/>
    <x v="2"/>
    <n v="41"/>
    <x v="1"/>
    <n v="44"/>
    <x v="1"/>
    <n v="18"/>
    <x v="0"/>
    <n v="44"/>
    <n v="18"/>
    <n v="137"/>
    <n v="13"/>
    <x v="2"/>
    <n v="22"/>
    <x v="0"/>
    <n v="21"/>
    <x v="1"/>
    <n v="21"/>
    <x v="1"/>
    <n v="22"/>
    <n v="13"/>
    <n v="77"/>
  </r>
  <r>
    <x v="16"/>
    <n v="24"/>
    <x v="1"/>
    <n v="24"/>
    <x v="0"/>
    <n v="41"/>
    <x v="1"/>
    <n v="25"/>
    <x v="0"/>
    <n v="41"/>
    <n v="24"/>
    <n v="114"/>
    <n v="1"/>
    <x v="1"/>
    <n v="3"/>
    <x v="1"/>
    <n v="46"/>
    <x v="2"/>
    <n v="46"/>
    <x v="2"/>
    <n v="46"/>
    <n v="1"/>
    <n v="96"/>
  </r>
  <r>
    <x v="17"/>
    <n v="12"/>
    <x v="1"/>
    <n v="40"/>
    <x v="1"/>
    <n v="16"/>
    <x v="0"/>
    <n v="22"/>
    <x v="0"/>
    <n v="40"/>
    <n v="12"/>
    <n v="90"/>
    <n v="38"/>
    <x v="3"/>
    <n v="35"/>
    <x v="2"/>
    <n v="1"/>
    <x v="3"/>
    <n v="1"/>
    <x v="3"/>
    <n v="38"/>
    <n v="1"/>
    <n v="75"/>
  </r>
  <r>
    <x v="18"/>
    <n v="50"/>
    <x v="3"/>
    <n v="50"/>
    <x v="1"/>
    <n v="50"/>
    <x v="1"/>
    <n v="50"/>
    <x v="1"/>
    <n v="50"/>
    <n v="50"/>
    <n v="200"/>
    <n v="25"/>
    <x v="2"/>
    <n v="30"/>
    <x v="2"/>
    <n v="32"/>
    <x v="0"/>
    <n v="32"/>
    <x v="0"/>
    <n v="32"/>
    <n v="25"/>
    <n v="119"/>
  </r>
  <r>
    <x v="19"/>
    <n v="42"/>
    <x v="3"/>
    <n v="11"/>
    <x v="0"/>
    <n v="8"/>
    <x v="3"/>
    <n v="45"/>
    <x v="1"/>
    <n v="45"/>
    <n v="8"/>
    <n v="106"/>
    <n v="6"/>
    <x v="1"/>
    <n v="5"/>
    <x v="1"/>
    <n v="49"/>
    <x v="2"/>
    <n v="49"/>
    <x v="2"/>
    <n v="49"/>
    <n v="5"/>
    <n v="109"/>
  </r>
  <r>
    <x v="20"/>
    <n v="22"/>
    <x v="1"/>
    <n v="38"/>
    <x v="3"/>
    <n v="44"/>
    <x v="1"/>
    <n v="42"/>
    <x v="1"/>
    <n v="44"/>
    <n v="22"/>
    <n v="146"/>
    <n v="29"/>
    <x v="2"/>
    <n v="41"/>
    <x v="3"/>
    <n v="8"/>
    <x v="3"/>
    <n v="8"/>
    <x v="3"/>
    <n v="41"/>
    <n v="8"/>
    <n v="86"/>
  </r>
  <r>
    <x v="21"/>
    <n v="8"/>
    <x v="0"/>
    <n v="19"/>
    <x v="0"/>
    <n v="15"/>
    <x v="0"/>
    <n v="50"/>
    <x v="1"/>
    <n v="50"/>
    <n v="8"/>
    <n v="92"/>
    <n v="19"/>
    <x v="2"/>
    <n v="8"/>
    <x v="1"/>
    <n v="43"/>
    <x v="2"/>
    <n v="43"/>
    <x v="2"/>
    <n v="43"/>
    <n v="8"/>
    <n v="113"/>
  </r>
  <r>
    <x v="22"/>
    <n v="19"/>
    <x v="1"/>
    <n v="9"/>
    <x v="2"/>
    <n v="26"/>
    <x v="0"/>
    <n v="10"/>
    <x v="0"/>
    <n v="26"/>
    <n v="9"/>
    <n v="64"/>
    <n v="14"/>
    <x v="2"/>
    <n v="25"/>
    <x v="0"/>
    <n v="49"/>
    <x v="2"/>
    <n v="49"/>
    <x v="2"/>
    <n v="49"/>
    <n v="14"/>
    <n v="137"/>
  </r>
  <r>
    <x v="23"/>
    <n v="50"/>
    <x v="3"/>
    <n v="19"/>
    <x v="0"/>
    <n v="4"/>
    <x v="3"/>
    <n v="2"/>
    <x v="3"/>
    <n v="50"/>
    <n v="2"/>
    <n v="75"/>
    <n v="2"/>
    <x v="1"/>
    <n v="14"/>
    <x v="0"/>
    <n v="0"/>
    <x v="3"/>
    <n v="0"/>
    <x v="3"/>
    <n v="14"/>
    <n v="0"/>
    <n v="16"/>
  </r>
  <r>
    <x v="24"/>
    <n v="17"/>
    <x v="1"/>
    <n v="17"/>
    <x v="0"/>
    <n v="28"/>
    <x v="0"/>
    <n v="6"/>
    <x v="3"/>
    <n v="28"/>
    <n v="6"/>
    <n v="68"/>
    <n v="10"/>
    <x v="2"/>
    <n v="44"/>
    <x v="3"/>
    <n v="43"/>
    <x v="2"/>
    <n v="43"/>
    <x v="2"/>
    <n v="44"/>
    <n v="10"/>
    <n v="140"/>
  </r>
  <r>
    <x v="25"/>
    <n v="14"/>
    <x v="1"/>
    <n v="49"/>
    <x v="1"/>
    <n v="6"/>
    <x v="3"/>
    <n v="3"/>
    <x v="3"/>
    <n v="49"/>
    <n v="3"/>
    <n v="72"/>
    <n v="7"/>
    <x v="1"/>
    <n v="22"/>
    <x v="0"/>
    <n v="33"/>
    <x v="0"/>
    <n v="33"/>
    <x v="0"/>
    <n v="33"/>
    <n v="7"/>
    <n v="95"/>
  </r>
  <r>
    <x v="26"/>
    <n v="40"/>
    <x v="3"/>
    <n v="36"/>
    <x v="3"/>
    <n v="17"/>
    <x v="0"/>
    <n v="2"/>
    <x v="3"/>
    <n v="40"/>
    <n v="2"/>
    <n v="95"/>
    <n v="40"/>
    <x v="0"/>
    <n v="40"/>
    <x v="3"/>
    <n v="37"/>
    <x v="0"/>
    <n v="37"/>
    <x v="0"/>
    <n v="40"/>
    <n v="37"/>
    <n v="154"/>
  </r>
  <r>
    <x v="27"/>
    <n v="28"/>
    <x v="1"/>
    <n v="8"/>
    <x v="2"/>
    <n v="10"/>
    <x v="0"/>
    <n v="8"/>
    <x v="3"/>
    <n v="28"/>
    <n v="8"/>
    <n v="54"/>
    <n v="26"/>
    <x v="2"/>
    <n v="7"/>
    <x v="1"/>
    <n v="46"/>
    <x v="2"/>
    <n v="46"/>
    <x v="2"/>
    <n v="46"/>
    <n v="7"/>
    <n v="125"/>
  </r>
  <r>
    <x v="28"/>
    <n v="50"/>
    <x v="3"/>
    <n v="50"/>
    <x v="1"/>
    <n v="50"/>
    <x v="1"/>
    <n v="50"/>
    <x v="1"/>
    <n v="50"/>
    <n v="50"/>
    <n v="200"/>
    <n v="50"/>
    <x v="0"/>
    <n v="50"/>
    <x v="3"/>
    <n v="50"/>
    <x v="2"/>
    <n v="50"/>
    <x v="2"/>
    <n v="50"/>
    <n v="50"/>
    <n v="200"/>
  </r>
  <r>
    <x v="29"/>
    <n v="15"/>
    <x v="1"/>
    <n v="47"/>
    <x v="1"/>
    <n v="48"/>
    <x v="1"/>
    <n v="37"/>
    <x v="2"/>
    <n v="48"/>
    <n v="15"/>
    <n v="147"/>
    <n v="1"/>
    <x v="1"/>
    <n v="36"/>
    <x v="2"/>
    <n v="26"/>
    <x v="1"/>
    <n v="26"/>
    <x v="1"/>
    <n v="36"/>
    <n v="1"/>
    <n v="8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n v="16"/>
    <x v="0"/>
    <n v="9"/>
    <x v="0"/>
    <n v="15"/>
    <x v="0"/>
    <n v="22"/>
    <x v="0"/>
    <n v="22"/>
    <n v="9"/>
    <n v="62"/>
    <n v="32"/>
    <x v="0"/>
    <n v="16"/>
    <x v="0"/>
    <n v="20"/>
    <x v="0"/>
    <n v="36"/>
    <x v="0"/>
    <n v="36"/>
    <n v="16"/>
    <n v="104"/>
  </r>
  <r>
    <x v="1"/>
    <n v="27"/>
    <x v="0"/>
    <n v="31"/>
    <x v="1"/>
    <n v="26"/>
    <x v="0"/>
    <n v="17"/>
    <x v="0"/>
    <n v="31"/>
    <n v="17"/>
    <n v="101"/>
    <n v="45"/>
    <x v="1"/>
    <n v="32"/>
    <x v="1"/>
    <n v="36"/>
    <x v="1"/>
    <n v="19"/>
    <x v="1"/>
    <n v="45"/>
    <n v="19"/>
    <n v="132"/>
  </r>
  <r>
    <x v="2"/>
    <n v="13"/>
    <x v="0"/>
    <n v="45"/>
    <x v="2"/>
    <n v="46"/>
    <x v="1"/>
    <n v="24"/>
    <x v="0"/>
    <n v="46"/>
    <n v="13"/>
    <n v="128"/>
    <n v="35"/>
    <x v="0"/>
    <n v="13"/>
    <x v="0"/>
    <n v="32"/>
    <x v="1"/>
    <n v="43"/>
    <x v="2"/>
    <n v="43"/>
    <n v="13"/>
    <n v="123"/>
  </r>
  <r>
    <x v="3"/>
    <n v="38"/>
    <x v="1"/>
    <n v="32"/>
    <x v="1"/>
    <n v="29"/>
    <x v="0"/>
    <n v="13"/>
    <x v="0"/>
    <n v="38"/>
    <n v="13"/>
    <n v="112"/>
    <n v="14"/>
    <x v="2"/>
    <n v="50"/>
    <x v="2"/>
    <n v="27"/>
    <x v="0"/>
    <n v="11"/>
    <x v="1"/>
    <n v="50"/>
    <n v="11"/>
    <n v="102"/>
  </r>
  <r>
    <x v="4"/>
    <n v="12"/>
    <x v="0"/>
    <n v="13"/>
    <x v="3"/>
    <n v="30"/>
    <x v="2"/>
    <n v="6"/>
    <x v="1"/>
    <n v="30"/>
    <n v="6"/>
    <n v="61"/>
    <n v="8"/>
    <x v="3"/>
    <n v="42"/>
    <x v="2"/>
    <n v="27"/>
    <x v="0"/>
    <n v="16"/>
    <x v="1"/>
    <n v="42"/>
    <n v="8"/>
    <n v="93"/>
  </r>
  <r>
    <x v="5"/>
    <n v="19"/>
    <x v="0"/>
    <n v="28"/>
    <x v="3"/>
    <n v="3"/>
    <x v="3"/>
    <n v="32"/>
    <x v="2"/>
    <n v="32"/>
    <n v="3"/>
    <n v="82"/>
    <n v="3"/>
    <x v="3"/>
    <n v="34"/>
    <x v="1"/>
    <n v="34"/>
    <x v="1"/>
    <n v="42"/>
    <x v="2"/>
    <n v="42"/>
    <n v="3"/>
    <n v="113"/>
  </r>
  <r>
    <x v="6"/>
    <n v="4"/>
    <x v="2"/>
    <n v="30"/>
    <x v="1"/>
    <n v="20"/>
    <x v="0"/>
    <n v="47"/>
    <x v="3"/>
    <n v="47"/>
    <n v="4"/>
    <n v="101"/>
    <n v="32"/>
    <x v="0"/>
    <n v="18"/>
    <x v="0"/>
    <n v="25"/>
    <x v="0"/>
    <n v="14"/>
    <x v="1"/>
    <n v="32"/>
    <n v="14"/>
    <n v="89"/>
  </r>
  <r>
    <x v="7"/>
    <n v="13"/>
    <x v="0"/>
    <n v="46"/>
    <x v="2"/>
    <n v="38"/>
    <x v="2"/>
    <n v="19"/>
    <x v="0"/>
    <n v="46"/>
    <n v="13"/>
    <n v="116"/>
    <n v="29"/>
    <x v="2"/>
    <n v="4"/>
    <x v="3"/>
    <n v="6"/>
    <x v="2"/>
    <n v="1"/>
    <x v="3"/>
    <n v="29"/>
    <n v="1"/>
    <n v="40"/>
  </r>
  <r>
    <x v="8"/>
    <n v="3"/>
    <x v="2"/>
    <n v="32"/>
    <x v="1"/>
    <n v="45"/>
    <x v="1"/>
    <n v="25"/>
    <x v="0"/>
    <n v="45"/>
    <n v="3"/>
    <n v="105"/>
    <n v="1"/>
    <x v="3"/>
    <n v="22"/>
    <x v="0"/>
    <n v="9"/>
    <x v="2"/>
    <n v="24"/>
    <x v="1"/>
    <n v="24"/>
    <n v="1"/>
    <n v="56"/>
  </r>
  <r>
    <x v="9"/>
    <n v="50"/>
    <x v="3"/>
    <n v="50"/>
    <x v="2"/>
    <n v="50"/>
    <x v="1"/>
    <n v="50"/>
    <x v="3"/>
    <n v="50"/>
    <n v="50"/>
    <n v="200"/>
    <n v="4"/>
    <x v="3"/>
    <n v="18"/>
    <x v="0"/>
    <n v="1"/>
    <x v="2"/>
    <n v="40"/>
    <x v="2"/>
    <n v="40"/>
    <n v="1"/>
    <n v="63"/>
  </r>
  <r>
    <x v="10"/>
    <n v="20"/>
    <x v="0"/>
    <n v="29"/>
    <x v="3"/>
    <n v="9"/>
    <x v="3"/>
    <n v="26"/>
    <x v="0"/>
    <n v="29"/>
    <n v="9"/>
    <n v="84"/>
    <n v="30"/>
    <x v="0"/>
    <n v="38"/>
    <x v="1"/>
    <n v="22"/>
    <x v="0"/>
    <n v="8"/>
    <x v="3"/>
    <n v="38"/>
    <n v="8"/>
    <n v="98"/>
  </r>
  <r>
    <x v="11"/>
    <n v="18"/>
    <x v="0"/>
    <n v="9"/>
    <x v="0"/>
    <n v="36"/>
    <x v="2"/>
    <n v="46"/>
    <x v="3"/>
    <n v="46"/>
    <n v="9"/>
    <n v="109"/>
    <n v="33"/>
    <x v="0"/>
    <n v="12"/>
    <x v="0"/>
    <n v="10"/>
    <x v="0"/>
    <n v="9"/>
    <x v="3"/>
    <n v="33"/>
    <n v="9"/>
    <n v="64"/>
  </r>
  <r>
    <x v="12"/>
    <n v="17"/>
    <x v="0"/>
    <n v="35"/>
    <x v="1"/>
    <n v="21"/>
    <x v="0"/>
    <n v="46"/>
    <x v="3"/>
    <n v="46"/>
    <n v="17"/>
    <n v="119"/>
    <n v="17"/>
    <x v="2"/>
    <n v="20"/>
    <x v="0"/>
    <n v="2"/>
    <x v="2"/>
    <n v="4"/>
    <x v="3"/>
    <n v="20"/>
    <n v="2"/>
    <n v="43"/>
  </r>
  <r>
    <x v="13"/>
    <n v="25"/>
    <x v="0"/>
    <n v="31"/>
    <x v="1"/>
    <n v="30"/>
    <x v="2"/>
    <n v="47"/>
    <x v="3"/>
    <n v="47"/>
    <n v="25"/>
    <n v="133"/>
    <n v="28"/>
    <x v="2"/>
    <n v="11"/>
    <x v="0"/>
    <n v="30"/>
    <x v="1"/>
    <n v="21"/>
    <x v="1"/>
    <n v="30"/>
    <n v="11"/>
    <n v="90"/>
  </r>
  <r>
    <x v="14"/>
    <n v="11"/>
    <x v="0"/>
    <n v="34"/>
    <x v="1"/>
    <n v="6"/>
    <x v="3"/>
    <n v="16"/>
    <x v="0"/>
    <n v="34"/>
    <n v="6"/>
    <n v="67"/>
    <n v="50"/>
    <x v="1"/>
    <n v="7"/>
    <x v="3"/>
    <n v="37"/>
    <x v="1"/>
    <n v="11"/>
    <x v="1"/>
    <n v="50"/>
    <n v="7"/>
    <n v="105"/>
  </r>
  <r>
    <x v="15"/>
    <n v="41"/>
    <x v="3"/>
    <n v="25"/>
    <x v="3"/>
    <n v="8"/>
    <x v="3"/>
    <n v="40"/>
    <x v="3"/>
    <n v="41"/>
    <n v="8"/>
    <n v="114"/>
    <n v="18"/>
    <x v="2"/>
    <n v="11"/>
    <x v="0"/>
    <n v="21"/>
    <x v="0"/>
    <n v="42"/>
    <x v="2"/>
    <n v="42"/>
    <n v="11"/>
    <n v="92"/>
  </r>
  <r>
    <x v="16"/>
    <n v="23"/>
    <x v="0"/>
    <n v="39"/>
    <x v="1"/>
    <n v="18"/>
    <x v="0"/>
    <n v="26"/>
    <x v="0"/>
    <n v="39"/>
    <n v="18"/>
    <n v="106"/>
    <n v="48"/>
    <x v="1"/>
    <n v="10"/>
    <x v="0"/>
    <n v="33"/>
    <x v="1"/>
    <n v="18"/>
    <x v="1"/>
    <n v="48"/>
    <n v="10"/>
    <n v="109"/>
  </r>
  <r>
    <x v="17"/>
    <n v="20"/>
    <x v="0"/>
    <n v="34"/>
    <x v="1"/>
    <n v="24"/>
    <x v="0"/>
    <n v="17"/>
    <x v="0"/>
    <n v="34"/>
    <n v="17"/>
    <n v="95"/>
    <n v="14"/>
    <x v="2"/>
    <n v="36"/>
    <x v="1"/>
    <n v="5"/>
    <x v="2"/>
    <n v="19"/>
    <x v="1"/>
    <n v="36"/>
    <n v="5"/>
    <n v="74"/>
  </r>
  <r>
    <x v="18"/>
    <n v="7"/>
    <x v="2"/>
    <n v="47"/>
    <x v="2"/>
    <n v="4"/>
    <x v="3"/>
    <n v="7"/>
    <x v="1"/>
    <n v="47"/>
    <n v="4"/>
    <n v="65"/>
    <n v="38"/>
    <x v="0"/>
    <n v="5"/>
    <x v="3"/>
    <n v="37"/>
    <x v="1"/>
    <n v="20"/>
    <x v="1"/>
    <n v="38"/>
    <n v="5"/>
    <n v="100"/>
  </r>
  <r>
    <x v="19"/>
    <n v="15"/>
    <x v="0"/>
    <n v="37"/>
    <x v="1"/>
    <n v="37"/>
    <x v="2"/>
    <n v="27"/>
    <x v="0"/>
    <n v="37"/>
    <n v="15"/>
    <n v="116"/>
    <n v="9"/>
    <x v="3"/>
    <n v="29"/>
    <x v="0"/>
    <n v="14"/>
    <x v="0"/>
    <n v="34"/>
    <x v="0"/>
    <n v="34"/>
    <n v="9"/>
    <n v="86"/>
  </r>
  <r>
    <x v="20"/>
    <n v="48"/>
    <x v="3"/>
    <n v="2"/>
    <x v="0"/>
    <n v="19"/>
    <x v="0"/>
    <n v="28"/>
    <x v="0"/>
    <n v="48"/>
    <n v="2"/>
    <n v="97"/>
    <n v="39"/>
    <x v="0"/>
    <n v="41"/>
    <x v="2"/>
    <n v="30"/>
    <x v="1"/>
    <n v="29"/>
    <x v="1"/>
    <n v="41"/>
    <n v="29"/>
    <n v="139"/>
  </r>
  <r>
    <x v="21"/>
    <n v="35"/>
    <x v="1"/>
    <n v="6"/>
    <x v="0"/>
    <n v="16"/>
    <x v="0"/>
    <n v="42"/>
    <x v="3"/>
    <n v="42"/>
    <n v="6"/>
    <n v="99"/>
    <n v="48"/>
    <x v="1"/>
    <n v="35"/>
    <x v="1"/>
    <n v="29"/>
    <x v="0"/>
    <n v="19"/>
    <x v="1"/>
    <n v="48"/>
    <n v="19"/>
    <n v="131"/>
  </r>
  <r>
    <x v="22"/>
    <n v="3"/>
    <x v="2"/>
    <n v="46"/>
    <x v="2"/>
    <n v="29"/>
    <x v="0"/>
    <n v="16"/>
    <x v="0"/>
    <n v="46"/>
    <n v="3"/>
    <n v="94"/>
    <n v="47"/>
    <x v="1"/>
    <n v="40"/>
    <x v="2"/>
    <n v="46"/>
    <x v="3"/>
    <n v="29"/>
    <x v="1"/>
    <n v="47"/>
    <n v="29"/>
    <n v="162"/>
  </r>
  <r>
    <x v="23"/>
    <n v="17"/>
    <x v="0"/>
    <n v="6"/>
    <x v="0"/>
    <n v="44"/>
    <x v="1"/>
    <n v="29"/>
    <x v="0"/>
    <n v="44"/>
    <n v="6"/>
    <n v="96"/>
    <n v="8"/>
    <x v="3"/>
    <n v="19"/>
    <x v="0"/>
    <n v="50"/>
    <x v="3"/>
    <n v="33"/>
    <x v="0"/>
    <n v="50"/>
    <n v="8"/>
    <n v="110"/>
  </r>
  <r>
    <x v="24"/>
    <n v="35"/>
    <x v="1"/>
    <n v="45"/>
    <x v="2"/>
    <n v="29"/>
    <x v="0"/>
    <n v="30"/>
    <x v="2"/>
    <n v="45"/>
    <n v="29"/>
    <n v="139"/>
    <n v="40"/>
    <x v="1"/>
    <n v="11"/>
    <x v="0"/>
    <n v="36"/>
    <x v="1"/>
    <n v="36"/>
    <x v="0"/>
    <n v="40"/>
    <n v="11"/>
    <n v="123"/>
  </r>
  <r>
    <x v="25"/>
    <n v="26"/>
    <x v="0"/>
    <n v="46"/>
    <x v="2"/>
    <n v="15"/>
    <x v="0"/>
    <n v="3"/>
    <x v="1"/>
    <n v="46"/>
    <n v="3"/>
    <n v="90"/>
    <n v="8"/>
    <x v="3"/>
    <n v="50"/>
    <x v="2"/>
    <n v="19"/>
    <x v="0"/>
    <n v="37"/>
    <x v="0"/>
    <n v="50"/>
    <n v="8"/>
    <n v="114"/>
  </r>
  <r>
    <x v="26"/>
    <n v="19"/>
    <x v="0"/>
    <n v="20"/>
    <x v="3"/>
    <n v="33"/>
    <x v="2"/>
    <n v="46"/>
    <x v="3"/>
    <n v="46"/>
    <n v="19"/>
    <n v="118"/>
    <n v="33"/>
    <x v="0"/>
    <n v="15"/>
    <x v="0"/>
    <n v="47"/>
    <x v="3"/>
    <n v="20"/>
    <x v="1"/>
    <n v="47"/>
    <n v="15"/>
    <n v="115"/>
  </r>
  <r>
    <x v="27"/>
    <n v="8"/>
    <x v="2"/>
    <n v="21"/>
    <x v="3"/>
    <n v="21"/>
    <x v="0"/>
    <n v="1"/>
    <x v="1"/>
    <n v="21"/>
    <n v="1"/>
    <n v="51"/>
    <n v="11"/>
    <x v="2"/>
    <n v="42"/>
    <x v="2"/>
    <n v="19"/>
    <x v="0"/>
    <n v="5"/>
    <x v="3"/>
    <n v="42"/>
    <n v="5"/>
    <n v="77"/>
  </r>
  <r>
    <x v="28"/>
    <n v="45"/>
    <x v="3"/>
    <n v="9"/>
    <x v="0"/>
    <n v="36"/>
    <x v="2"/>
    <n v="26"/>
    <x v="0"/>
    <n v="45"/>
    <n v="9"/>
    <n v="116"/>
    <n v="17"/>
    <x v="2"/>
    <n v="17"/>
    <x v="0"/>
    <n v="7"/>
    <x v="2"/>
    <n v="17"/>
    <x v="1"/>
    <n v="17"/>
    <n v="7"/>
    <n v="58"/>
  </r>
  <r>
    <x v="29"/>
    <n v="29"/>
    <x v="0"/>
    <n v="11"/>
    <x v="3"/>
    <n v="13"/>
    <x v="0"/>
    <n v="16"/>
    <x v="0"/>
    <n v="29"/>
    <n v="11"/>
    <n v="69"/>
    <n v="46"/>
    <x v="1"/>
    <n v="25"/>
    <x v="0"/>
    <n v="34"/>
    <x v="1"/>
    <n v="50"/>
    <x v="2"/>
    <n v="50"/>
    <n v="25"/>
    <n v="15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n v="7"/>
    <x v="0"/>
    <n v="22"/>
    <x v="0"/>
    <n v="27"/>
    <x v="0"/>
    <n v="18"/>
    <x v="0"/>
    <n v="27"/>
    <n v="7"/>
    <n v="74"/>
    <n v="16"/>
    <x v="0"/>
    <n v="43"/>
    <x v="0"/>
    <n v="38"/>
    <x v="0"/>
    <n v="8"/>
    <s v="No Grade"/>
    <n v="43"/>
    <n v="8"/>
    <n v="105"/>
  </r>
  <r>
    <x v="1"/>
    <n v="25"/>
    <x v="1"/>
    <n v="39"/>
    <x v="1"/>
    <n v="23"/>
    <x v="0"/>
    <n v="34"/>
    <x v="1"/>
    <n v="39"/>
    <n v="23"/>
    <n v="121"/>
    <n v="18"/>
    <x v="0"/>
    <n v="2"/>
    <x v="1"/>
    <n v="11"/>
    <x v="1"/>
    <n v="39"/>
    <s v="Merit"/>
    <n v="39"/>
    <n v="2"/>
    <n v="70"/>
  </r>
  <r>
    <x v="2"/>
    <n v="37"/>
    <x v="2"/>
    <n v="48"/>
    <x v="2"/>
    <n v="3"/>
    <x v="1"/>
    <n v="14"/>
    <x v="0"/>
    <n v="48"/>
    <n v="3"/>
    <n v="102"/>
    <n v="46"/>
    <x v="1"/>
    <n v="36"/>
    <x v="2"/>
    <n v="41"/>
    <x v="2"/>
    <n v="42"/>
    <s v="Distinction"/>
    <n v="46"/>
    <n v="36"/>
    <n v="165"/>
  </r>
  <r>
    <x v="3"/>
    <n v="6"/>
    <x v="0"/>
    <n v="26"/>
    <x v="0"/>
    <n v="17"/>
    <x v="0"/>
    <n v="3"/>
    <x v="2"/>
    <n v="26"/>
    <n v="3"/>
    <n v="52"/>
    <n v="14"/>
    <x v="0"/>
    <n v="28"/>
    <x v="3"/>
    <n v="18"/>
    <x v="1"/>
    <n v="44"/>
    <s v="Distinction"/>
    <n v="44"/>
    <n v="14"/>
    <n v="104"/>
  </r>
  <r>
    <x v="4"/>
    <n v="12"/>
    <x v="1"/>
    <n v="17"/>
    <x v="0"/>
    <n v="34"/>
    <x v="2"/>
    <n v="47"/>
    <x v="3"/>
    <n v="47"/>
    <n v="12"/>
    <n v="110"/>
    <n v="33"/>
    <x v="2"/>
    <n v="1"/>
    <x v="1"/>
    <n v="4"/>
    <x v="3"/>
    <n v="12"/>
    <s v="Pass"/>
    <n v="33"/>
    <n v="1"/>
    <n v="50"/>
  </r>
  <r>
    <x v="5"/>
    <n v="49"/>
    <x v="3"/>
    <n v="31"/>
    <x v="1"/>
    <n v="26"/>
    <x v="0"/>
    <n v="40"/>
    <x v="3"/>
    <n v="49"/>
    <n v="26"/>
    <n v="146"/>
    <n v="17"/>
    <x v="0"/>
    <n v="34"/>
    <x v="2"/>
    <n v="24"/>
    <x v="1"/>
    <n v="6"/>
    <s v="No Grade"/>
    <n v="34"/>
    <n v="6"/>
    <n v="81"/>
  </r>
  <r>
    <x v="6"/>
    <n v="50"/>
    <x v="3"/>
    <n v="50"/>
    <x v="2"/>
    <n v="50"/>
    <x v="3"/>
    <n v="50"/>
    <x v="3"/>
    <n v="50"/>
    <n v="50"/>
    <n v="200"/>
    <n v="18"/>
    <x v="0"/>
    <n v="13"/>
    <x v="3"/>
    <n v="14"/>
    <x v="1"/>
    <n v="29"/>
    <s v="Pass"/>
    <n v="29"/>
    <n v="13"/>
    <n v="74"/>
  </r>
  <r>
    <x v="7"/>
    <n v="4"/>
    <x v="0"/>
    <n v="35"/>
    <x v="1"/>
    <n v="40"/>
    <x v="3"/>
    <n v="16"/>
    <x v="0"/>
    <n v="40"/>
    <n v="4"/>
    <n v="95"/>
    <n v="38"/>
    <x v="2"/>
    <n v="40"/>
    <x v="0"/>
    <n v="38"/>
    <x v="0"/>
    <n v="26"/>
    <s v="Pass"/>
    <n v="40"/>
    <n v="26"/>
    <n v="142"/>
  </r>
  <r>
    <x v="8"/>
    <n v="4"/>
    <x v="0"/>
    <n v="24"/>
    <x v="0"/>
    <n v="36"/>
    <x v="2"/>
    <n v="17"/>
    <x v="0"/>
    <n v="36"/>
    <n v="4"/>
    <n v="81"/>
    <n v="31"/>
    <x v="2"/>
    <n v="31"/>
    <x v="2"/>
    <n v="46"/>
    <x v="2"/>
    <n v="20"/>
    <s v="Pass"/>
    <n v="46"/>
    <n v="20"/>
    <n v="128"/>
  </r>
  <r>
    <x v="9"/>
    <n v="44"/>
    <x v="3"/>
    <n v="14"/>
    <x v="0"/>
    <n v="23"/>
    <x v="0"/>
    <n v="50"/>
    <x v="3"/>
    <n v="50"/>
    <n v="14"/>
    <n v="131"/>
    <n v="29"/>
    <x v="0"/>
    <n v="7"/>
    <x v="1"/>
    <n v="38"/>
    <x v="0"/>
    <n v="18"/>
    <s v="Pass"/>
    <n v="38"/>
    <n v="7"/>
    <n v="92"/>
  </r>
  <r>
    <x v="10"/>
    <n v="7"/>
    <x v="0"/>
    <n v="25"/>
    <x v="0"/>
    <n v="38"/>
    <x v="2"/>
    <n v="37"/>
    <x v="1"/>
    <n v="38"/>
    <n v="7"/>
    <n v="107"/>
    <n v="19"/>
    <x v="0"/>
    <n v="50"/>
    <x v="0"/>
    <n v="34"/>
    <x v="0"/>
    <n v="24"/>
    <s v="Pass"/>
    <n v="50"/>
    <n v="19"/>
    <n v="127"/>
  </r>
  <r>
    <x v="11"/>
    <n v="22"/>
    <x v="1"/>
    <n v="14"/>
    <x v="0"/>
    <n v="25"/>
    <x v="0"/>
    <n v="46"/>
    <x v="3"/>
    <n v="46"/>
    <n v="14"/>
    <n v="107"/>
    <n v="32"/>
    <x v="2"/>
    <n v="49"/>
    <x v="0"/>
    <n v="48"/>
    <x v="2"/>
    <n v="44"/>
    <s v="Distinction"/>
    <n v="49"/>
    <n v="32"/>
    <n v="173"/>
  </r>
  <r>
    <x v="12"/>
    <n v="22"/>
    <x v="1"/>
    <n v="24"/>
    <x v="0"/>
    <n v="30"/>
    <x v="2"/>
    <n v="48"/>
    <x v="3"/>
    <n v="48"/>
    <n v="22"/>
    <n v="124"/>
    <n v="13"/>
    <x v="0"/>
    <n v="34"/>
    <x v="2"/>
    <n v="10"/>
    <x v="1"/>
    <n v="45"/>
    <s v="Distinction"/>
    <n v="45"/>
    <n v="10"/>
    <n v="102"/>
  </r>
  <r>
    <x v="13"/>
    <n v="40"/>
    <x v="3"/>
    <n v="50"/>
    <x v="2"/>
    <n v="27"/>
    <x v="0"/>
    <n v="9"/>
    <x v="2"/>
    <n v="50"/>
    <n v="9"/>
    <n v="126"/>
    <n v="43"/>
    <x v="1"/>
    <n v="5"/>
    <x v="1"/>
    <n v="7"/>
    <x v="3"/>
    <n v="40"/>
    <s v="Distinction"/>
    <n v="43"/>
    <n v="5"/>
    <n v="95"/>
  </r>
  <r>
    <x v="14"/>
    <n v="50"/>
    <x v="3"/>
    <n v="30"/>
    <x v="1"/>
    <n v="41"/>
    <x v="3"/>
    <n v="43"/>
    <x v="3"/>
    <n v="50"/>
    <n v="30"/>
    <n v="164"/>
    <n v="12"/>
    <x v="0"/>
    <n v="49"/>
    <x v="0"/>
    <n v="8"/>
    <x v="3"/>
    <n v="5"/>
    <s v="No Grade"/>
    <n v="49"/>
    <n v="5"/>
    <n v="74"/>
  </r>
  <r>
    <x v="15"/>
    <n v="33"/>
    <x v="2"/>
    <n v="28"/>
    <x v="0"/>
    <n v="24"/>
    <x v="0"/>
    <n v="47"/>
    <x v="3"/>
    <n v="47"/>
    <n v="24"/>
    <n v="132"/>
    <n v="45"/>
    <x v="1"/>
    <n v="18"/>
    <x v="3"/>
    <n v="37"/>
    <x v="0"/>
    <n v="19"/>
    <s v="Pass"/>
    <n v="45"/>
    <n v="18"/>
    <n v="119"/>
  </r>
  <r>
    <x v="16"/>
    <n v="30"/>
    <x v="2"/>
    <n v="26"/>
    <x v="0"/>
    <n v="45"/>
    <x v="3"/>
    <n v="22"/>
    <x v="0"/>
    <n v="45"/>
    <n v="22"/>
    <n v="123"/>
    <n v="37"/>
    <x v="2"/>
    <n v="29"/>
    <x v="3"/>
    <n v="26"/>
    <x v="1"/>
    <n v="48"/>
    <s v="Distinction"/>
    <n v="48"/>
    <n v="26"/>
    <n v="140"/>
  </r>
  <r>
    <x v="17"/>
    <n v="34"/>
    <x v="2"/>
    <n v="2"/>
    <x v="3"/>
    <n v="38"/>
    <x v="2"/>
    <n v="36"/>
    <x v="1"/>
    <n v="38"/>
    <n v="2"/>
    <n v="110"/>
    <n v="19"/>
    <x v="0"/>
    <n v="47"/>
    <x v="0"/>
    <n v="42"/>
    <x v="2"/>
    <n v="18"/>
    <s v="Pass"/>
    <n v="47"/>
    <n v="18"/>
    <n v="126"/>
  </r>
  <r>
    <x v="18"/>
    <n v="29"/>
    <x v="1"/>
    <n v="29"/>
    <x v="0"/>
    <n v="31"/>
    <x v="2"/>
    <n v="13"/>
    <x v="0"/>
    <n v="31"/>
    <n v="13"/>
    <n v="102"/>
    <n v="0"/>
    <x v="3"/>
    <n v="36"/>
    <x v="2"/>
    <n v="32"/>
    <x v="0"/>
    <n v="43"/>
    <s v="Distinction"/>
    <n v="43"/>
    <n v="0"/>
    <n v="111"/>
  </r>
  <r>
    <x v="19"/>
    <n v="30"/>
    <x v="2"/>
    <n v="42"/>
    <x v="2"/>
    <n v="22"/>
    <x v="0"/>
    <n v="4"/>
    <x v="2"/>
    <n v="42"/>
    <n v="4"/>
    <n v="98"/>
    <n v="11"/>
    <x v="0"/>
    <n v="22"/>
    <x v="3"/>
    <n v="44"/>
    <x v="2"/>
    <n v="38"/>
    <s v="Merit"/>
    <n v="44"/>
    <n v="11"/>
    <n v="115"/>
  </r>
  <r>
    <x v="20"/>
    <n v="34"/>
    <x v="2"/>
    <n v="37"/>
    <x v="1"/>
    <n v="47"/>
    <x v="3"/>
    <n v="44"/>
    <x v="3"/>
    <n v="47"/>
    <n v="34"/>
    <n v="162"/>
    <n v="7"/>
    <x v="3"/>
    <n v="49"/>
    <x v="0"/>
    <n v="25"/>
    <x v="1"/>
    <n v="34"/>
    <s v="Merit"/>
    <n v="49"/>
    <n v="7"/>
    <n v="115"/>
  </r>
  <r>
    <x v="21"/>
    <n v="21"/>
    <x v="1"/>
    <n v="35"/>
    <x v="1"/>
    <n v="29"/>
    <x v="0"/>
    <n v="46"/>
    <x v="3"/>
    <n v="46"/>
    <n v="21"/>
    <n v="131"/>
    <n v="49"/>
    <x v="1"/>
    <n v="0"/>
    <x v="1"/>
    <n v="6"/>
    <x v="3"/>
    <n v="27"/>
    <s v="Pass"/>
    <n v="49"/>
    <n v="0"/>
    <n v="82"/>
  </r>
  <r>
    <x v="22"/>
    <n v="44"/>
    <x v="3"/>
    <n v="29"/>
    <x v="0"/>
    <n v="4"/>
    <x v="1"/>
    <n v="34"/>
    <x v="1"/>
    <n v="44"/>
    <n v="4"/>
    <n v="111"/>
    <n v="13"/>
    <x v="0"/>
    <n v="31"/>
    <x v="2"/>
    <n v="40"/>
    <x v="2"/>
    <n v="9"/>
    <s v="No Grade"/>
    <n v="40"/>
    <n v="9"/>
    <n v="93"/>
  </r>
  <r>
    <x v="23"/>
    <n v="27"/>
    <x v="1"/>
    <n v="23"/>
    <x v="0"/>
    <n v="27"/>
    <x v="0"/>
    <n v="28"/>
    <x v="0"/>
    <n v="28"/>
    <n v="23"/>
    <n v="105"/>
    <n v="16"/>
    <x v="0"/>
    <n v="36"/>
    <x v="2"/>
    <n v="44"/>
    <x v="2"/>
    <n v="0"/>
    <s v="No Grade"/>
    <n v="44"/>
    <n v="0"/>
    <n v="96"/>
  </r>
  <r>
    <x v="24"/>
    <n v="27"/>
    <x v="1"/>
    <n v="40"/>
    <x v="2"/>
    <n v="16"/>
    <x v="0"/>
    <n v="1"/>
    <x v="2"/>
    <n v="40"/>
    <n v="1"/>
    <n v="84"/>
    <n v="25"/>
    <x v="0"/>
    <n v="48"/>
    <x v="0"/>
    <n v="7"/>
    <x v="3"/>
    <n v="1"/>
    <s v="No Grade"/>
    <n v="48"/>
    <n v="1"/>
    <n v="81"/>
  </r>
  <r>
    <x v="25"/>
    <n v="36"/>
    <x v="2"/>
    <n v="26"/>
    <x v="0"/>
    <n v="1"/>
    <x v="1"/>
    <n v="36"/>
    <x v="1"/>
    <n v="36"/>
    <n v="1"/>
    <n v="99"/>
    <n v="20"/>
    <x v="0"/>
    <n v="7"/>
    <x v="1"/>
    <n v="43"/>
    <x v="2"/>
    <n v="26"/>
    <s v="Pass"/>
    <n v="43"/>
    <n v="7"/>
    <n v="96"/>
  </r>
  <r>
    <x v="26"/>
    <n v="2"/>
    <x v="0"/>
    <n v="20"/>
    <x v="0"/>
    <n v="5"/>
    <x v="1"/>
    <n v="10"/>
    <x v="0"/>
    <n v="20"/>
    <n v="2"/>
    <n v="37"/>
    <n v="47"/>
    <x v="1"/>
    <n v="13"/>
    <x v="3"/>
    <n v="14"/>
    <x v="1"/>
    <n v="46"/>
    <s v="Distinction"/>
    <n v="47"/>
    <n v="13"/>
    <n v="120"/>
  </r>
  <r>
    <x v="27"/>
    <n v="29"/>
    <x v="1"/>
    <n v="21"/>
    <x v="0"/>
    <n v="38"/>
    <x v="2"/>
    <n v="18"/>
    <x v="0"/>
    <n v="38"/>
    <n v="18"/>
    <n v="106"/>
    <n v="34"/>
    <x v="2"/>
    <n v="23"/>
    <x v="3"/>
    <n v="18"/>
    <x v="1"/>
    <n v="12"/>
    <s v="Pass"/>
    <n v="34"/>
    <n v="12"/>
    <n v="87"/>
  </r>
  <r>
    <x v="28"/>
    <n v="33"/>
    <x v="2"/>
    <n v="15"/>
    <x v="0"/>
    <n v="42"/>
    <x v="3"/>
    <n v="3"/>
    <x v="2"/>
    <n v="42"/>
    <n v="3"/>
    <n v="93"/>
    <n v="30"/>
    <x v="2"/>
    <n v="36"/>
    <x v="2"/>
    <n v="47"/>
    <x v="2"/>
    <n v="1"/>
    <s v="No Grade"/>
    <n v="47"/>
    <n v="1"/>
    <n v="114"/>
  </r>
  <r>
    <x v="29"/>
    <n v="17"/>
    <x v="1"/>
    <n v="12"/>
    <x v="0"/>
    <n v="27"/>
    <x v="0"/>
    <n v="44"/>
    <x v="3"/>
    <n v="44"/>
    <n v="12"/>
    <n v="100"/>
    <n v="23"/>
    <x v="0"/>
    <n v="42"/>
    <x v="0"/>
    <n v="22"/>
    <x v="1"/>
    <n v="17"/>
    <s v="Pass"/>
    <n v="42"/>
    <n v="17"/>
    <n v="1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tudent Name">
  <location ref="C63:Q94" firstHeaderRow="0" firstDataRow="1" firstDataCol="1"/>
  <pivotFields count="23">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dataField="1" showAll="0"/>
    <pivotField showAll="0">
      <items count="5">
        <item x="3"/>
        <item x="2"/>
        <item x="0"/>
        <item x="1"/>
        <item t="default"/>
      </items>
    </pivotField>
    <pivotField dataField="1" showAll="0"/>
    <pivotField showAll="0">
      <items count="5">
        <item x="1"/>
        <item x="3"/>
        <item x="2"/>
        <item x="0"/>
        <item t="default"/>
      </items>
    </pivotField>
    <pivotField dataField="1" showAll="0"/>
    <pivotField showAll="0">
      <items count="5">
        <item x="1"/>
        <item x="2"/>
        <item x="3"/>
        <item x="0"/>
        <item t="default"/>
      </items>
    </pivotField>
    <pivotField dataField="1" showAll="0"/>
    <pivotField showAll="0">
      <items count="5">
        <item x="1"/>
        <item x="2"/>
        <item x="3"/>
        <item x="0"/>
        <item t="default"/>
      </items>
    </pivotField>
    <pivotField dataField="1" showAll="0"/>
    <pivotField dataField="1" showAll="0"/>
    <pivotField dataField="1" showAll="0"/>
    <pivotField dataField="1" showAll="0"/>
    <pivotField showAll="0">
      <items count="5">
        <item x="0"/>
        <item x="3"/>
        <item x="1"/>
        <item x="2"/>
        <item t="default"/>
      </items>
    </pivotField>
    <pivotField dataField="1" showAll="0"/>
    <pivotField showAll="0">
      <items count="5">
        <item x="3"/>
        <item x="2"/>
        <item x="1"/>
        <item x="0"/>
        <item t="default"/>
      </items>
    </pivotField>
    <pivotField dataField="1" showAll="0"/>
    <pivotField showAll="0">
      <items count="5">
        <item x="2"/>
        <item x="0"/>
        <item x="3"/>
        <item x="1"/>
        <item t="default"/>
      </items>
    </pivotField>
    <pivotField dataField="1" showAll="0"/>
    <pivotField showAll="0">
      <items count="5">
        <item x="2"/>
        <item x="0"/>
        <item x="3"/>
        <item x="1"/>
        <item t="default"/>
      </items>
    </pivotField>
    <pivotField dataField="1" showAll="0"/>
    <pivotField dataField="1" showAll="0"/>
    <pivotField dataField="1" showAll="0"/>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1st Modular Exam (Mark)" fld="1" baseField="0" baseItem="0"/>
    <dataField name="2nd Modular Exam (Mark)" fld="3" baseField="0" baseItem="0"/>
    <dataField name="3rd Modular Exam (Mark)" fld="5" baseField="0" baseItem="0"/>
    <dataField name="4th Modular Exam (Mark)" fld="7" baseField="0" baseItem="0"/>
    <dataField name="Highest Mark (Modular)" fld="9" baseField="0" baseItem="0"/>
    <dataField name="Lowest mark (Modular)" fld="10" baseField="0" baseItem="0"/>
    <dataField name="Total Mrak (Modular)" fld="11" baseField="0" baseItem="0"/>
    <dataField name="1st Mock Exam (Mark)" fld="12" baseField="0" baseItem="0"/>
    <dataField name="2nd Mock Exam (Mark)" fld="14" baseField="0" baseItem="0"/>
    <dataField name="3rd Mock Exam (Mark)" fld="16" baseField="0" baseItem="0"/>
    <dataField name="4th Mock Exam (Mark)" fld="18" baseField="0" baseItem="0"/>
    <dataField name="Highest Mark (Mock)" fld="20" baseField="0" baseItem="0"/>
    <dataField name="Lowest mark (Mock)" fld="21" baseField="0" baseItem="0"/>
    <dataField name="Total Mrak (Mock)" fld="22" baseField="0" baseItem="0"/>
  </dataFields>
  <formats count="51">
    <format dxfId="134">
      <pivotArea type="all" dataOnly="0" outline="0" fieldPosition="0"/>
    </format>
    <format dxfId="133">
      <pivotArea outline="0" collapsedLevelsAreSubtotals="1" fieldPosition="0"/>
    </format>
    <format dxfId="132">
      <pivotArea field="0" type="button" dataOnly="0" labelOnly="1" outline="0" axis="axisRow" fieldPosition="0"/>
    </format>
    <format dxfId="131">
      <pivotArea dataOnly="0" labelOnly="1" fieldPosition="0">
        <references count="1">
          <reference field="0" count="0"/>
        </references>
      </pivotArea>
    </format>
    <format dxfId="130">
      <pivotArea dataOnly="0" labelOnly="1" grandRow="1" outline="0" fieldPosition="0"/>
    </format>
    <format dxfId="129">
      <pivotArea dataOnly="0" labelOnly="1" outline="0" fieldPosition="0">
        <references count="1">
          <reference field="4294967294" count="14">
            <x v="0"/>
            <x v="1"/>
            <x v="2"/>
            <x v="3"/>
            <x v="4"/>
            <x v="5"/>
            <x v="6"/>
            <x v="7"/>
            <x v="8"/>
            <x v="9"/>
            <x v="10"/>
            <x v="11"/>
            <x v="12"/>
            <x v="13"/>
          </reference>
        </references>
      </pivotArea>
    </format>
    <format dxfId="128">
      <pivotArea type="all" dataOnly="0" outline="0" fieldPosition="0"/>
    </format>
    <format dxfId="127">
      <pivotArea outline="0" collapsedLevelsAreSubtotals="1" fieldPosition="0"/>
    </format>
    <format dxfId="126">
      <pivotArea field="0" type="button" dataOnly="0" labelOnly="1" outline="0" axis="axisRow" fieldPosition="0"/>
    </format>
    <format dxfId="125">
      <pivotArea dataOnly="0" labelOnly="1" fieldPosition="0">
        <references count="1">
          <reference field="0" count="0"/>
        </references>
      </pivotArea>
    </format>
    <format dxfId="124">
      <pivotArea dataOnly="0" labelOnly="1" grandRow="1" outline="0" fieldPosition="0"/>
    </format>
    <format dxfId="123">
      <pivotArea dataOnly="0" labelOnly="1" outline="0" fieldPosition="0">
        <references count="1">
          <reference field="4294967294" count="14">
            <x v="0"/>
            <x v="1"/>
            <x v="2"/>
            <x v="3"/>
            <x v="4"/>
            <x v="5"/>
            <x v="6"/>
            <x v="7"/>
            <x v="8"/>
            <x v="9"/>
            <x v="10"/>
            <x v="11"/>
            <x v="12"/>
            <x v="13"/>
          </reference>
        </references>
      </pivotArea>
    </format>
    <format dxfId="122">
      <pivotArea type="all" dataOnly="0" outline="0" fieldPosition="0"/>
    </format>
    <format dxfId="121">
      <pivotArea outline="0" collapsedLevelsAreSubtotals="1" fieldPosition="0"/>
    </format>
    <format dxfId="120">
      <pivotArea field="0" type="button" dataOnly="0" labelOnly="1" outline="0" axis="axisRow" fieldPosition="0"/>
    </format>
    <format dxfId="119">
      <pivotArea dataOnly="0" labelOnly="1" fieldPosition="0">
        <references count="1">
          <reference field="0" count="0"/>
        </references>
      </pivotArea>
    </format>
    <format dxfId="118">
      <pivotArea dataOnly="0" labelOnly="1" grandRow="1" outline="0" fieldPosition="0"/>
    </format>
    <format dxfId="117">
      <pivotArea dataOnly="0" labelOnly="1" outline="0" fieldPosition="0">
        <references count="1">
          <reference field="4294967294" count="14">
            <x v="0"/>
            <x v="1"/>
            <x v="2"/>
            <x v="3"/>
            <x v="4"/>
            <x v="5"/>
            <x v="6"/>
            <x v="7"/>
            <x v="8"/>
            <x v="9"/>
            <x v="10"/>
            <x v="11"/>
            <x v="12"/>
            <x v="13"/>
          </reference>
        </references>
      </pivotArea>
    </format>
    <format dxfId="116">
      <pivotArea field="0" type="button" dataOnly="0" labelOnly="1" outline="0" axis="axisRow" fieldPosition="0"/>
    </format>
    <format dxfId="115">
      <pivotArea dataOnly="0" labelOnly="1" outline="0" fieldPosition="0">
        <references count="1">
          <reference field="4294967294" count="14">
            <x v="0"/>
            <x v="1"/>
            <x v="2"/>
            <x v="3"/>
            <x v="4"/>
            <x v="5"/>
            <x v="6"/>
            <x v="7"/>
            <x v="8"/>
            <x v="9"/>
            <x v="10"/>
            <x v="11"/>
            <x v="12"/>
            <x v="13"/>
          </reference>
        </references>
      </pivotArea>
    </format>
    <format dxfId="114">
      <pivotArea field="0" type="button" dataOnly="0" labelOnly="1" outline="0" axis="axisRow" fieldPosition="0"/>
    </format>
    <format dxfId="113">
      <pivotArea dataOnly="0" labelOnly="1" outline="0" fieldPosition="0">
        <references count="1">
          <reference field="4294967294" count="14">
            <x v="0"/>
            <x v="1"/>
            <x v="2"/>
            <x v="3"/>
            <x v="4"/>
            <x v="5"/>
            <x v="6"/>
            <x v="7"/>
            <x v="8"/>
            <x v="9"/>
            <x v="10"/>
            <x v="11"/>
            <x v="12"/>
            <x v="13"/>
          </reference>
        </references>
      </pivotArea>
    </format>
    <format dxfId="112">
      <pivotArea grandRow="1" outline="0" collapsedLevelsAreSubtotals="1" fieldPosition="0"/>
    </format>
    <format dxfId="111">
      <pivotArea dataOnly="0" labelOnly="1" grandRow="1" outline="0" fieldPosition="0"/>
    </format>
    <format dxfId="110">
      <pivotArea type="all" dataOnly="0" outline="0" fieldPosition="0"/>
    </format>
    <format dxfId="109">
      <pivotArea outline="0" collapsedLevelsAreSubtotals="1" fieldPosition="0"/>
    </format>
    <format dxfId="108">
      <pivotArea dataOnly="0" labelOnly="1" fieldPosition="0">
        <references count="1">
          <reference field="0" count="0"/>
        </references>
      </pivotArea>
    </format>
    <format dxfId="107">
      <pivotArea field="0" type="button" dataOnly="0" labelOnly="1" outline="0" axis="axisRow" fieldPosition="0"/>
    </format>
    <format dxfId="106">
      <pivotArea dataOnly="0" labelOnly="1" outline="0" fieldPosition="0">
        <references count="1">
          <reference field="4294967294" count="14">
            <x v="0"/>
            <x v="1"/>
            <x v="2"/>
            <x v="3"/>
            <x v="4"/>
            <x v="5"/>
            <x v="6"/>
            <x v="7"/>
            <x v="8"/>
            <x v="9"/>
            <x v="10"/>
            <x v="11"/>
            <x v="12"/>
            <x v="13"/>
          </reference>
        </references>
      </pivotArea>
    </format>
    <format dxfId="105">
      <pivotArea grandRow="1" outline="0" collapsedLevelsAreSubtotals="1" fieldPosition="0"/>
    </format>
    <format dxfId="104">
      <pivotArea dataOnly="0" labelOnly="1" grandRow="1" outline="0" fieldPosition="0"/>
    </format>
    <format dxfId="103">
      <pivotArea outline="0" collapsedLevelsAreSubtotals="1" fieldPosition="0">
        <references count="1">
          <reference field="4294967294" count="3" selected="0">
            <x v="4"/>
            <x v="5"/>
            <x v="6"/>
          </reference>
        </references>
      </pivotArea>
    </format>
    <format dxfId="102">
      <pivotArea dataOnly="0" labelOnly="1" outline="0" fieldPosition="0">
        <references count="1">
          <reference field="4294967294" count="3">
            <x v="4"/>
            <x v="5"/>
            <x v="6"/>
          </reference>
        </references>
      </pivotArea>
    </format>
    <format dxfId="101">
      <pivotArea field="0" grandRow="1" outline="0" collapsedLevelsAreSubtotals="1" axis="axisRow" fieldPosition="0">
        <references count="1">
          <reference field="4294967294" count="3" selected="0">
            <x v="4"/>
            <x v="5"/>
            <x v="6"/>
          </reference>
        </references>
      </pivotArea>
    </format>
    <format dxfId="100">
      <pivotArea dataOnly="0" outline="0" fieldPosition="0">
        <references count="1">
          <reference field="4294967294" count="3">
            <x v="11"/>
            <x v="12"/>
            <x v="13"/>
          </reference>
        </references>
      </pivotArea>
    </format>
    <format dxfId="99">
      <pivotArea dataOnly="0" labelOnly="1" outline="0" fieldPosition="0">
        <references count="1">
          <reference field="4294967294" count="3">
            <x v="11"/>
            <x v="12"/>
            <x v="13"/>
          </reference>
        </references>
      </pivotArea>
    </format>
    <format dxfId="98">
      <pivotArea field="0" grandRow="1" outline="0" collapsedLevelsAreSubtotals="1" axis="axisRow" fieldPosition="0">
        <references count="1">
          <reference field="4294967294" count="3" selected="0">
            <x v="11"/>
            <x v="12"/>
            <x v="13"/>
          </reference>
        </references>
      </pivotArea>
    </format>
    <format dxfId="97">
      <pivotArea field="0" type="button" dataOnly="0" labelOnly="1" outline="0" axis="axisRow" fieldPosition="0"/>
    </format>
    <format dxfId="96">
      <pivotArea dataOnly="0" labelOnly="1" outline="0" fieldPosition="0">
        <references count="1">
          <reference field="4294967294" count="14">
            <x v="0"/>
            <x v="1"/>
            <x v="2"/>
            <x v="3"/>
            <x v="4"/>
            <x v="5"/>
            <x v="6"/>
            <x v="7"/>
            <x v="8"/>
            <x v="9"/>
            <x v="10"/>
            <x v="11"/>
            <x v="12"/>
            <x v="13"/>
          </reference>
        </references>
      </pivotArea>
    </format>
    <format dxfId="95">
      <pivotArea field="0" type="button" dataOnly="0" labelOnly="1" outline="0" axis="axisRow" fieldPosition="0"/>
    </format>
    <format dxfId="94">
      <pivotArea dataOnly="0" labelOnly="1" outline="0" fieldPosition="0">
        <references count="1">
          <reference field="4294967294" count="14">
            <x v="0"/>
            <x v="1"/>
            <x v="2"/>
            <x v="3"/>
            <x v="4"/>
            <x v="5"/>
            <x v="6"/>
            <x v="7"/>
            <x v="8"/>
            <x v="9"/>
            <x v="10"/>
            <x v="11"/>
            <x v="12"/>
            <x v="13"/>
          </reference>
        </references>
      </pivotArea>
    </format>
    <format dxfId="93">
      <pivotArea grandRow="1" outline="0" collapsedLevelsAreSubtotals="1" fieldPosition="0"/>
    </format>
    <format dxfId="92">
      <pivotArea dataOnly="0" labelOnly="1" grandRow="1" outline="0" fieldPosition="0"/>
    </format>
    <format dxfId="91">
      <pivotArea grandRow="1" outline="0" collapsedLevelsAreSubtotals="1" fieldPosition="0"/>
    </format>
    <format dxfId="90">
      <pivotArea dataOnly="0" labelOnly="1" grandRow="1" outline="0" fieldPosition="0"/>
    </format>
    <format dxfId="89">
      <pivotArea field="0" type="button" dataOnly="0" labelOnly="1" outline="0" axis="axisRow" fieldPosition="0"/>
    </format>
    <format dxfId="88">
      <pivotArea dataOnly="0" labelOnly="1" outline="0" fieldPosition="0">
        <references count="1">
          <reference field="4294967294" count="14">
            <x v="0"/>
            <x v="1"/>
            <x v="2"/>
            <x v="3"/>
            <x v="4"/>
            <x v="5"/>
            <x v="6"/>
            <x v="7"/>
            <x v="8"/>
            <x v="9"/>
            <x v="10"/>
            <x v="11"/>
            <x v="12"/>
            <x v="13"/>
          </reference>
        </references>
      </pivotArea>
    </format>
    <format dxfId="87">
      <pivotArea dataOnly="0" labelOnly="1" fieldPosition="0">
        <references count="1">
          <reference field="0" count="0"/>
        </references>
      </pivotArea>
    </format>
    <format dxfId="86">
      <pivotArea dataOnly="0" labelOnly="1" grandRow="1" outline="0" fieldPosition="0"/>
    </format>
    <format dxfId="85">
      <pivotArea collapsedLevelsAreSubtotals="1" fieldPosition="0">
        <references count="1">
          <reference field="0" count="0"/>
        </references>
      </pivotArea>
    </format>
    <format dxfId="8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rowHeaderCaption="Student Name">
  <location ref="C13:Q44" firstHeaderRow="0" firstDataRow="1" firstDataCol="1"/>
  <pivotFields count="23">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dataField="1" showAll="0"/>
    <pivotField showAll="0">
      <items count="5">
        <item x="3"/>
        <item x="2"/>
        <item x="0"/>
        <item x="1"/>
        <item t="default"/>
      </items>
    </pivotField>
    <pivotField dataField="1" showAll="0"/>
    <pivotField showAll="0">
      <items count="5">
        <item x="2"/>
        <item x="1"/>
        <item x="3"/>
        <item x="0"/>
        <item t="default"/>
      </items>
    </pivotField>
    <pivotField dataField="1" showAll="0"/>
    <pivotField showAll="0">
      <items count="5">
        <item x="3"/>
        <item x="2"/>
        <item x="1"/>
        <item x="0"/>
        <item t="default"/>
      </items>
    </pivotField>
    <pivotField dataField="1" showAll="0"/>
    <pivotField showAll="0">
      <items count="5">
        <item x="3"/>
        <item x="1"/>
        <item x="2"/>
        <item x="0"/>
        <item t="default"/>
      </items>
    </pivotField>
    <pivotField dataField="1" showAll="0"/>
    <pivotField dataField="1" showAll="0"/>
    <pivotField dataField="1" showAll="0"/>
    <pivotField dataField="1" showAll="0"/>
    <pivotField showAll="0">
      <items count="5">
        <item x="1"/>
        <item x="2"/>
        <item x="3"/>
        <item x="0"/>
        <item t="default"/>
      </items>
    </pivotField>
    <pivotField dataField="1" showAll="0"/>
    <pivotField showAll="0">
      <items count="5">
        <item x="0"/>
        <item x="2"/>
        <item x="1"/>
        <item x="3"/>
        <item t="default"/>
      </items>
    </pivotField>
    <pivotField dataField="1" showAll="0"/>
    <pivotField showAll="0">
      <items count="5">
        <item x="2"/>
        <item x="0"/>
        <item x="3"/>
        <item x="1"/>
        <item t="default"/>
      </items>
    </pivotField>
    <pivotField dataField="1" showAll="0"/>
    <pivotField showAll="0"/>
    <pivotField dataField="1" showAll="0"/>
    <pivotField dataField="1" showAll="0"/>
    <pivotField dataField="1" showAll="0"/>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1st Modular Exam (Mark)" fld="1" baseField="0" baseItem="0"/>
    <dataField name="2nd Modular Exam (Mark)" fld="3" baseField="0" baseItem="0"/>
    <dataField name="3rd Modular Exam (Mark)" fld="5" baseField="0" baseItem="0"/>
    <dataField name="4th Modular Exam (Mark)" fld="7" baseField="0" baseItem="0"/>
    <dataField name="Highest Mark (Modular)" fld="9" baseField="0" baseItem="0"/>
    <dataField name="Lowest Mark (Modular)" fld="10" baseField="0" baseItem="0"/>
    <dataField name="Total Mrak (Modular)" fld="11" baseField="0" baseItem="0"/>
    <dataField name="1st Mock Exam (Mark)" fld="12" baseField="0" baseItem="0"/>
    <dataField name="2nd Mock Exam (Mark)" fld="14" baseField="0" baseItem="0"/>
    <dataField name="3rd Mock Exam (Mark)" fld="16" baseField="0" baseItem="0"/>
    <dataField name="4th Mock Exam (Mark)" fld="18" baseField="0" baseItem="0"/>
    <dataField name="Highest Mark (Mock)" fld="20" baseField="0" baseItem="0"/>
    <dataField name="Lowest Mark (Mock)" fld="21" baseField="0" baseItem="0"/>
    <dataField name="Total Mark  (Mock)" fld="22" baseField="0" baseItem="0"/>
  </dataFields>
  <formats count="51">
    <format dxfId="185">
      <pivotArea type="all" dataOnly="0" outline="0" fieldPosition="0"/>
    </format>
    <format dxfId="184">
      <pivotArea outline="0" collapsedLevelsAreSubtotals="1" fieldPosition="0"/>
    </format>
    <format dxfId="183">
      <pivotArea field="0" type="button" dataOnly="0" labelOnly="1" outline="0" axis="axisRow" fieldPosition="0"/>
    </format>
    <format dxfId="182">
      <pivotArea dataOnly="0" labelOnly="1" fieldPosition="0">
        <references count="1">
          <reference field="0" count="0"/>
        </references>
      </pivotArea>
    </format>
    <format dxfId="181">
      <pivotArea dataOnly="0" labelOnly="1" grandRow="1" outline="0" fieldPosition="0"/>
    </format>
    <format dxfId="180">
      <pivotArea dataOnly="0" labelOnly="1" outline="0" fieldPosition="0">
        <references count="1">
          <reference field="4294967294" count="14">
            <x v="0"/>
            <x v="1"/>
            <x v="2"/>
            <x v="3"/>
            <x v="4"/>
            <x v="5"/>
            <x v="6"/>
            <x v="7"/>
            <x v="8"/>
            <x v="9"/>
            <x v="10"/>
            <x v="11"/>
            <x v="12"/>
            <x v="13"/>
          </reference>
        </references>
      </pivotArea>
    </format>
    <format dxfId="179">
      <pivotArea type="all" dataOnly="0" outline="0" fieldPosition="0"/>
    </format>
    <format dxfId="178">
      <pivotArea outline="0" collapsedLevelsAreSubtotals="1" fieldPosition="0"/>
    </format>
    <format dxfId="177">
      <pivotArea field="0" type="button" dataOnly="0" labelOnly="1" outline="0" axis="axisRow" fieldPosition="0"/>
    </format>
    <format dxfId="176">
      <pivotArea dataOnly="0" labelOnly="1" fieldPosition="0">
        <references count="1">
          <reference field="0" count="0"/>
        </references>
      </pivotArea>
    </format>
    <format dxfId="175">
      <pivotArea dataOnly="0" labelOnly="1" grandRow="1" outline="0" fieldPosition="0"/>
    </format>
    <format dxfId="174">
      <pivotArea dataOnly="0" labelOnly="1" outline="0" fieldPosition="0">
        <references count="1">
          <reference field="4294967294" count="14">
            <x v="0"/>
            <x v="1"/>
            <x v="2"/>
            <x v="3"/>
            <x v="4"/>
            <x v="5"/>
            <x v="6"/>
            <x v="7"/>
            <x v="8"/>
            <x v="9"/>
            <x v="10"/>
            <x v="11"/>
            <x v="12"/>
            <x v="13"/>
          </reference>
        </references>
      </pivotArea>
    </format>
    <format dxfId="173">
      <pivotArea field="0" type="button" dataOnly="0" labelOnly="1" outline="0" axis="axisRow" fieldPosition="0"/>
    </format>
    <format dxfId="172">
      <pivotArea dataOnly="0" labelOnly="1" outline="0" fieldPosition="0">
        <references count="1">
          <reference field="4294967294" count="14">
            <x v="0"/>
            <x v="1"/>
            <x v="2"/>
            <x v="3"/>
            <x v="4"/>
            <x v="5"/>
            <x v="6"/>
            <x v="7"/>
            <x v="8"/>
            <x v="9"/>
            <x v="10"/>
            <x v="11"/>
            <x v="12"/>
            <x v="13"/>
          </reference>
        </references>
      </pivotArea>
    </format>
    <format dxfId="171">
      <pivotArea type="all" dataOnly="0" outline="0" fieldPosition="0"/>
    </format>
    <format dxfId="170">
      <pivotArea outline="0" collapsedLevelsAreSubtotals="1" fieldPosition="0"/>
    </format>
    <format dxfId="169">
      <pivotArea field="0" type="button" dataOnly="0" labelOnly="1" outline="0" axis="axisRow" fieldPosition="0"/>
    </format>
    <format dxfId="168">
      <pivotArea dataOnly="0" labelOnly="1" fieldPosition="0">
        <references count="1">
          <reference field="0" count="25">
            <x v="0"/>
            <x v="1"/>
            <x v="3"/>
            <x v="4"/>
            <x v="5"/>
            <x v="6"/>
            <x v="7"/>
            <x v="8"/>
            <x v="9"/>
            <x v="10"/>
            <x v="11"/>
            <x v="12"/>
            <x v="14"/>
            <x v="16"/>
            <x v="17"/>
            <x v="18"/>
            <x v="19"/>
            <x v="20"/>
            <x v="22"/>
            <x v="23"/>
            <x v="24"/>
            <x v="25"/>
            <x v="27"/>
            <x v="28"/>
            <x v="29"/>
          </reference>
        </references>
      </pivotArea>
    </format>
    <format dxfId="167">
      <pivotArea dataOnly="0" labelOnly="1" grandRow="1" outline="0" fieldPosition="0"/>
    </format>
    <format dxfId="166">
      <pivotArea dataOnly="0" labelOnly="1" outline="0" fieldPosition="0">
        <references count="1">
          <reference field="4294967294" count="14">
            <x v="0"/>
            <x v="1"/>
            <x v="2"/>
            <x v="3"/>
            <x v="4"/>
            <x v="5"/>
            <x v="6"/>
            <x v="7"/>
            <x v="8"/>
            <x v="9"/>
            <x v="10"/>
            <x v="11"/>
            <x v="12"/>
            <x v="13"/>
          </reference>
        </references>
      </pivotArea>
    </format>
    <format dxfId="165">
      <pivotArea type="all" dataOnly="0" outline="0" fieldPosition="0"/>
    </format>
    <format dxfId="164">
      <pivotArea outline="0" collapsedLevelsAreSubtotals="1" fieldPosition="0"/>
    </format>
    <format dxfId="163">
      <pivotArea dataOnly="0" labelOnly="1" fieldPosition="0">
        <references count="1">
          <reference field="0" count="0"/>
        </references>
      </pivotArea>
    </format>
    <format dxfId="162">
      <pivotArea field="0" type="button" dataOnly="0" labelOnly="1" outline="0" axis="axisRow" fieldPosition="0"/>
    </format>
    <format dxfId="161">
      <pivotArea dataOnly="0" labelOnly="1" outline="0" fieldPosition="0">
        <references count="1">
          <reference field="4294967294" count="14">
            <x v="0"/>
            <x v="1"/>
            <x v="2"/>
            <x v="3"/>
            <x v="4"/>
            <x v="5"/>
            <x v="6"/>
            <x v="7"/>
            <x v="8"/>
            <x v="9"/>
            <x v="10"/>
            <x v="11"/>
            <x v="12"/>
            <x v="13"/>
          </reference>
        </references>
      </pivotArea>
    </format>
    <format dxfId="160">
      <pivotArea grandRow="1" outline="0" collapsedLevelsAreSubtotals="1" fieldPosition="0"/>
    </format>
    <format dxfId="159">
      <pivotArea dataOnly="0" labelOnly="1" grandRow="1" outline="0" fieldPosition="0"/>
    </format>
    <format dxfId="158">
      <pivotArea type="all" dataOnly="0" outline="0" fieldPosition="0"/>
    </format>
    <format dxfId="157">
      <pivotArea outline="0" collapsedLevelsAreSubtotals="1" fieldPosition="0"/>
    </format>
    <format dxfId="156">
      <pivotArea dataOnly="0" labelOnly="1" fieldPosition="0">
        <references count="1">
          <reference field="0" count="24">
            <x v="0"/>
            <x v="2"/>
            <x v="3"/>
            <x v="4"/>
            <x v="6"/>
            <x v="8"/>
            <x v="9"/>
            <x v="10"/>
            <x v="11"/>
            <x v="12"/>
            <x v="13"/>
            <x v="15"/>
            <x v="16"/>
            <x v="17"/>
            <x v="18"/>
            <x v="19"/>
            <x v="22"/>
            <x v="23"/>
            <x v="24"/>
            <x v="25"/>
            <x v="26"/>
            <x v="27"/>
            <x v="28"/>
            <x v="29"/>
          </reference>
        </references>
      </pivotArea>
    </format>
    <format dxfId="155">
      <pivotArea field="0" type="button" dataOnly="0" labelOnly="1" outline="0" axis="axisRow" fieldPosition="0"/>
    </format>
    <format dxfId="154">
      <pivotArea dataOnly="0" labelOnly="1" outline="0" fieldPosition="0">
        <references count="1">
          <reference field="4294967294" count="14">
            <x v="0"/>
            <x v="1"/>
            <x v="2"/>
            <x v="3"/>
            <x v="4"/>
            <x v="5"/>
            <x v="6"/>
            <x v="7"/>
            <x v="8"/>
            <x v="9"/>
            <x v="10"/>
            <x v="11"/>
            <x v="12"/>
            <x v="13"/>
          </reference>
        </references>
      </pivotArea>
    </format>
    <format dxfId="153">
      <pivotArea grandRow="1" outline="0" collapsedLevelsAreSubtotals="1" fieldPosition="0"/>
    </format>
    <format dxfId="152">
      <pivotArea dataOnly="0" labelOnly="1" grandRow="1" outline="0" fieldPosition="0"/>
    </format>
    <format dxfId="151">
      <pivotArea outline="0" collapsedLevelsAreSubtotals="1" fieldPosition="0">
        <references count="1">
          <reference field="4294967294" count="3" selected="0">
            <x v="4"/>
            <x v="5"/>
            <x v="6"/>
          </reference>
        </references>
      </pivotArea>
    </format>
    <format dxfId="150">
      <pivotArea dataOnly="0" labelOnly="1" outline="0" fieldPosition="0">
        <references count="1">
          <reference field="4294967294" count="3">
            <x v="4"/>
            <x v="5"/>
            <x v="6"/>
          </reference>
        </references>
      </pivotArea>
    </format>
    <format dxfId="149">
      <pivotArea field="0" grandRow="1" outline="0" collapsedLevelsAreSubtotals="1" axis="axisRow" fieldPosition="0">
        <references count="1">
          <reference field="4294967294" count="3" selected="0">
            <x v="4"/>
            <x v="5"/>
            <x v="6"/>
          </reference>
        </references>
      </pivotArea>
    </format>
    <format dxfId="148">
      <pivotArea dataOnly="0" outline="0" fieldPosition="0">
        <references count="1">
          <reference field="4294967294" count="3">
            <x v="11"/>
            <x v="12"/>
            <x v="13"/>
          </reference>
        </references>
      </pivotArea>
    </format>
    <format dxfId="147">
      <pivotArea dataOnly="0" labelOnly="1" outline="0" fieldPosition="0">
        <references count="1">
          <reference field="4294967294" count="3">
            <x v="11"/>
            <x v="12"/>
            <x v="13"/>
          </reference>
        </references>
      </pivotArea>
    </format>
    <format dxfId="146">
      <pivotArea field="0" grandRow="1" outline="0" collapsedLevelsAreSubtotals="1" axis="axisRow" fieldPosition="0">
        <references count="1">
          <reference field="4294967294" count="3" selected="0">
            <x v="11"/>
            <x v="12"/>
            <x v="13"/>
          </reference>
        </references>
      </pivotArea>
    </format>
    <format dxfId="145">
      <pivotArea field="0" type="button" dataOnly="0" labelOnly="1" outline="0" axis="axisRow" fieldPosition="0"/>
    </format>
    <format dxfId="144">
      <pivotArea dataOnly="0" labelOnly="1" outline="0" fieldPosition="0">
        <references count="1">
          <reference field="4294967294" count="14">
            <x v="0"/>
            <x v="1"/>
            <x v="2"/>
            <x v="3"/>
            <x v="4"/>
            <x v="5"/>
            <x v="6"/>
            <x v="7"/>
            <x v="8"/>
            <x v="9"/>
            <x v="10"/>
            <x v="11"/>
            <x v="12"/>
            <x v="13"/>
          </reference>
        </references>
      </pivotArea>
    </format>
    <format dxfId="143">
      <pivotArea grandRow="1" outline="0" collapsedLevelsAreSubtotals="1" fieldPosition="0"/>
    </format>
    <format dxfId="142">
      <pivotArea dataOnly="0" labelOnly="1" grandRow="1" outline="0" fieldPosition="0"/>
    </format>
    <format dxfId="141">
      <pivotArea field="0" type="button" dataOnly="0" labelOnly="1" outline="0" axis="axisRow" fieldPosition="0"/>
    </format>
    <format dxfId="140">
      <pivotArea dataOnly="0" labelOnly="1" outline="0" fieldPosition="0">
        <references count="1">
          <reference field="4294967294" count="14">
            <x v="0"/>
            <x v="1"/>
            <x v="2"/>
            <x v="3"/>
            <x v="4"/>
            <x v="5"/>
            <x v="6"/>
            <x v="7"/>
            <x v="8"/>
            <x v="9"/>
            <x v="10"/>
            <x v="11"/>
            <x v="12"/>
            <x v="13"/>
          </reference>
        </references>
      </pivotArea>
    </format>
    <format dxfId="139">
      <pivotArea field="0" type="button" dataOnly="0" labelOnly="1" outline="0" axis="axisRow" fieldPosition="0"/>
    </format>
    <format dxfId="138">
      <pivotArea dataOnly="0" labelOnly="1" outline="0" fieldPosition="0">
        <references count="1">
          <reference field="4294967294" count="14">
            <x v="0"/>
            <x v="1"/>
            <x v="2"/>
            <x v="3"/>
            <x v="4"/>
            <x v="5"/>
            <x v="6"/>
            <x v="7"/>
            <x v="8"/>
            <x v="9"/>
            <x v="10"/>
            <x v="11"/>
            <x v="12"/>
            <x v="13"/>
          </reference>
        </references>
      </pivotArea>
    </format>
    <format dxfId="137">
      <pivotArea dataOnly="0" labelOnly="1" fieldPosition="0">
        <references count="1">
          <reference field="0" count="0"/>
        </references>
      </pivotArea>
    </format>
    <format dxfId="136">
      <pivotArea dataOnly="0" labelOnly="1" grandRow="1" outline="0" fieldPosition="0"/>
    </format>
    <format dxfId="135">
      <pivotArea outline="0" collapsedLevelsAreSubtotals="1" fieldPosition="0"/>
    </format>
  </formats>
  <chartFormats count="56">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 chart="3" format="3" series="1">
      <pivotArea type="data" outline="0" fieldPosition="0">
        <references count="1">
          <reference field="4294967294" count="1" selected="0">
            <x v="3"/>
          </reference>
        </references>
      </pivotArea>
    </chartFormat>
    <chartFormat chart="3" format="4" series="1">
      <pivotArea type="data" outline="0" fieldPosition="0">
        <references count="1">
          <reference field="4294967294" count="1" selected="0">
            <x v="4"/>
          </reference>
        </references>
      </pivotArea>
    </chartFormat>
    <chartFormat chart="3" format="5" series="1">
      <pivotArea type="data" outline="0" fieldPosition="0">
        <references count="1">
          <reference field="4294967294" count="1" selected="0">
            <x v="5"/>
          </reference>
        </references>
      </pivotArea>
    </chartFormat>
    <chartFormat chart="3" format="6" series="1">
      <pivotArea type="data" outline="0" fieldPosition="0">
        <references count="1">
          <reference field="4294967294" count="1" selected="0">
            <x v="6"/>
          </reference>
        </references>
      </pivotArea>
    </chartFormat>
    <chartFormat chart="3" format="7" series="1">
      <pivotArea type="data" outline="0" fieldPosition="0">
        <references count="1">
          <reference field="4294967294" count="1" selected="0">
            <x v="7"/>
          </reference>
        </references>
      </pivotArea>
    </chartFormat>
    <chartFormat chart="3" format="8" series="1">
      <pivotArea type="data" outline="0" fieldPosition="0">
        <references count="1">
          <reference field="4294967294" count="1" selected="0">
            <x v="8"/>
          </reference>
        </references>
      </pivotArea>
    </chartFormat>
    <chartFormat chart="3" format="9" series="1">
      <pivotArea type="data" outline="0" fieldPosition="0">
        <references count="1">
          <reference field="4294967294" count="1" selected="0">
            <x v="9"/>
          </reference>
        </references>
      </pivotArea>
    </chartFormat>
    <chartFormat chart="3" format="10" series="1">
      <pivotArea type="data" outline="0" fieldPosition="0">
        <references count="1">
          <reference field="4294967294" count="1" selected="0">
            <x v="10"/>
          </reference>
        </references>
      </pivotArea>
    </chartFormat>
    <chartFormat chart="3" format="11" series="1">
      <pivotArea type="data" outline="0" fieldPosition="0">
        <references count="1">
          <reference field="4294967294" count="1" selected="0">
            <x v="11"/>
          </reference>
        </references>
      </pivotArea>
    </chartFormat>
    <chartFormat chart="3" format="12" series="1">
      <pivotArea type="data" outline="0" fieldPosition="0">
        <references count="1">
          <reference field="4294967294" count="1" selected="0">
            <x v="12"/>
          </reference>
        </references>
      </pivotArea>
    </chartFormat>
    <chartFormat chart="3" format="13" series="1">
      <pivotArea type="data" outline="0" fieldPosition="0">
        <references count="1">
          <reference field="4294967294" count="1" selected="0">
            <x v="1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4" format="4" series="1">
      <pivotArea type="data" outline="0" fieldPosition="0">
        <references count="1">
          <reference field="4294967294" count="1" selected="0">
            <x v="4"/>
          </reference>
        </references>
      </pivotArea>
    </chartFormat>
    <chartFormat chart="4" format="5" series="1">
      <pivotArea type="data" outline="0" fieldPosition="0">
        <references count="1">
          <reference field="4294967294" count="1" selected="0">
            <x v="5"/>
          </reference>
        </references>
      </pivotArea>
    </chartFormat>
    <chartFormat chart="4" format="6" series="1">
      <pivotArea type="data" outline="0" fieldPosition="0">
        <references count="1">
          <reference field="4294967294" count="1" selected="0">
            <x v="6"/>
          </reference>
        </references>
      </pivotArea>
    </chartFormat>
    <chartFormat chart="4" format="7" series="1">
      <pivotArea type="data" outline="0" fieldPosition="0">
        <references count="1">
          <reference field="4294967294" count="1" selected="0">
            <x v="7"/>
          </reference>
        </references>
      </pivotArea>
    </chartFormat>
    <chartFormat chart="4" format="8" series="1">
      <pivotArea type="data" outline="0" fieldPosition="0">
        <references count="1">
          <reference field="4294967294" count="1" selected="0">
            <x v="8"/>
          </reference>
        </references>
      </pivotArea>
    </chartFormat>
    <chartFormat chart="4" format="9" series="1">
      <pivotArea type="data" outline="0" fieldPosition="0">
        <references count="1">
          <reference field="4294967294" count="1" selected="0">
            <x v="9"/>
          </reference>
        </references>
      </pivotArea>
    </chartFormat>
    <chartFormat chart="4" format="10" series="1">
      <pivotArea type="data" outline="0" fieldPosition="0">
        <references count="1">
          <reference field="4294967294" count="1" selected="0">
            <x v="10"/>
          </reference>
        </references>
      </pivotArea>
    </chartFormat>
    <chartFormat chart="4" format="11" series="1">
      <pivotArea type="data" outline="0" fieldPosition="0">
        <references count="1">
          <reference field="4294967294" count="1" selected="0">
            <x v="11"/>
          </reference>
        </references>
      </pivotArea>
    </chartFormat>
    <chartFormat chart="4" format="12" series="1">
      <pivotArea type="data" outline="0" fieldPosition="0">
        <references count="1">
          <reference field="4294967294" count="1" selected="0">
            <x v="12"/>
          </reference>
        </references>
      </pivotArea>
    </chartFormat>
    <chartFormat chart="4" format="13" series="1">
      <pivotArea type="data" outline="0" fieldPosition="0">
        <references count="1">
          <reference field="4294967294" count="1" selected="0">
            <x v="13"/>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4"/>
          </reference>
        </references>
      </pivotArea>
    </chartFormat>
    <chartFormat chart="5" format="5" series="1">
      <pivotArea type="data" outline="0" fieldPosition="0">
        <references count="1">
          <reference field="4294967294" count="1" selected="0">
            <x v="5"/>
          </reference>
        </references>
      </pivotArea>
    </chartFormat>
    <chartFormat chart="5" format="6" series="1">
      <pivotArea type="data" outline="0" fieldPosition="0">
        <references count="1">
          <reference field="4294967294" count="1" selected="0">
            <x v="6"/>
          </reference>
        </references>
      </pivotArea>
    </chartFormat>
    <chartFormat chart="5" format="7" series="1">
      <pivotArea type="data" outline="0" fieldPosition="0">
        <references count="1">
          <reference field="4294967294" count="1" selected="0">
            <x v="7"/>
          </reference>
        </references>
      </pivotArea>
    </chartFormat>
    <chartFormat chart="5" format="8" series="1">
      <pivotArea type="data" outline="0" fieldPosition="0">
        <references count="1">
          <reference field="4294967294" count="1" selected="0">
            <x v="8"/>
          </reference>
        </references>
      </pivotArea>
    </chartFormat>
    <chartFormat chart="5" format="9" series="1">
      <pivotArea type="data" outline="0" fieldPosition="0">
        <references count="1">
          <reference field="4294967294" count="1" selected="0">
            <x v="9"/>
          </reference>
        </references>
      </pivotArea>
    </chartFormat>
    <chartFormat chart="5" format="10" series="1">
      <pivotArea type="data" outline="0" fieldPosition="0">
        <references count="1">
          <reference field="4294967294" count="1" selected="0">
            <x v="10"/>
          </reference>
        </references>
      </pivotArea>
    </chartFormat>
    <chartFormat chart="5" format="11" series="1">
      <pivotArea type="data" outline="0" fieldPosition="0">
        <references count="1">
          <reference field="4294967294" count="1" selected="0">
            <x v="11"/>
          </reference>
        </references>
      </pivotArea>
    </chartFormat>
    <chartFormat chart="5" format="12" series="1">
      <pivotArea type="data" outline="0" fieldPosition="0">
        <references count="1">
          <reference field="4294967294" count="1" selected="0">
            <x v="12"/>
          </reference>
        </references>
      </pivotArea>
    </chartFormat>
    <chartFormat chart="5" format="13" series="1">
      <pivotArea type="data" outline="0" fieldPosition="0">
        <references count="1">
          <reference field="4294967294" count="1" selected="0">
            <x v="13"/>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2"/>
          </reference>
        </references>
      </pivotArea>
    </chartFormat>
    <chartFormat chart="11" format="3" series="1">
      <pivotArea type="data" outline="0" fieldPosition="0">
        <references count="1">
          <reference field="4294967294" count="1" selected="0">
            <x v="3"/>
          </reference>
        </references>
      </pivotArea>
    </chartFormat>
    <chartFormat chart="11" format="4" series="1">
      <pivotArea type="data" outline="0" fieldPosition="0">
        <references count="1">
          <reference field="4294967294" count="1" selected="0">
            <x v="4"/>
          </reference>
        </references>
      </pivotArea>
    </chartFormat>
    <chartFormat chart="11" format="5" series="1">
      <pivotArea type="data" outline="0" fieldPosition="0">
        <references count="1">
          <reference field="4294967294" count="1" selected="0">
            <x v="5"/>
          </reference>
        </references>
      </pivotArea>
    </chartFormat>
    <chartFormat chart="11" format="6" series="1">
      <pivotArea type="data" outline="0" fieldPosition="0">
        <references count="1">
          <reference field="4294967294" count="1" selected="0">
            <x v="6"/>
          </reference>
        </references>
      </pivotArea>
    </chartFormat>
    <chartFormat chart="11" format="7" series="1">
      <pivotArea type="data" outline="0" fieldPosition="0">
        <references count="1">
          <reference field="4294967294" count="1" selected="0">
            <x v="7"/>
          </reference>
        </references>
      </pivotArea>
    </chartFormat>
    <chartFormat chart="11" format="8" series="1">
      <pivotArea type="data" outline="0" fieldPosition="0">
        <references count="1">
          <reference field="4294967294" count="1" selected="0">
            <x v="8"/>
          </reference>
        </references>
      </pivotArea>
    </chartFormat>
    <chartFormat chart="11" format="9" series="1">
      <pivotArea type="data" outline="0" fieldPosition="0">
        <references count="1">
          <reference field="4294967294" count="1" selected="0">
            <x v="9"/>
          </reference>
        </references>
      </pivotArea>
    </chartFormat>
    <chartFormat chart="11" format="10" series="1">
      <pivotArea type="data" outline="0" fieldPosition="0">
        <references count="1">
          <reference field="4294967294" count="1" selected="0">
            <x v="10"/>
          </reference>
        </references>
      </pivotArea>
    </chartFormat>
    <chartFormat chart="11" format="11" series="1">
      <pivotArea type="data" outline="0" fieldPosition="0">
        <references count="1">
          <reference field="4294967294" count="1" selected="0">
            <x v="11"/>
          </reference>
        </references>
      </pivotArea>
    </chartFormat>
    <chartFormat chart="11" format="12" series="1">
      <pivotArea type="data" outline="0" fieldPosition="0">
        <references count="1">
          <reference field="4294967294" count="1" selected="0">
            <x v="12"/>
          </reference>
        </references>
      </pivotArea>
    </chartFormat>
    <chartFormat chart="11" format="13" series="1">
      <pivotArea type="data" outline="0" fieldPosition="0">
        <references count="1">
          <reference field="4294967294"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2000000}" name="PivotTable5"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tudent Name">
  <location ref="C113:Q144" firstHeaderRow="0" firstDataRow="1" firstDataCol="1"/>
  <pivotFields count="23">
    <pivotField axis="axisRow"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dataField="1" showAll="0"/>
    <pivotField showAll="0">
      <items count="5">
        <item x="3"/>
        <item x="1"/>
        <item x="2"/>
        <item x="0"/>
        <item t="default"/>
      </items>
    </pivotField>
    <pivotField dataField="1" showAll="0"/>
    <pivotField showAll="0">
      <items count="5">
        <item x="2"/>
        <item x="1"/>
        <item x="0"/>
        <item x="3"/>
        <item t="default"/>
      </items>
    </pivotField>
    <pivotField dataField="1" showAll="0"/>
    <pivotField showAll="0">
      <items count="5">
        <item x="1"/>
        <item x="2"/>
        <item x="3"/>
        <item x="0"/>
        <item t="default"/>
      </items>
    </pivotField>
    <pivotField dataField="1" showAll="0"/>
    <pivotField showAll="0">
      <items count="5">
        <item x="3"/>
        <item x="2"/>
        <item x="1"/>
        <item x="0"/>
        <item t="default"/>
      </items>
    </pivotField>
    <pivotField dataField="1" showAll="0"/>
    <pivotField dataField="1" showAll="0"/>
    <pivotField dataField="1" showAll="0"/>
    <pivotField dataField="1" showAll="0"/>
    <pivotField showAll="0">
      <items count="5">
        <item x="1"/>
        <item x="0"/>
        <item x="3"/>
        <item x="2"/>
        <item t="default"/>
      </items>
    </pivotField>
    <pivotField dataField="1" showAll="0"/>
    <pivotField showAll="0">
      <items count="5">
        <item x="2"/>
        <item x="1"/>
        <item x="3"/>
        <item x="0"/>
        <item t="default"/>
      </items>
    </pivotField>
    <pivotField dataField="1" showAll="0"/>
    <pivotField showAll="0">
      <items count="5">
        <item x="3"/>
        <item x="1"/>
        <item x="2"/>
        <item x="0"/>
        <item t="default"/>
      </items>
    </pivotField>
    <pivotField dataField="1" showAll="0"/>
    <pivotField showAll="0">
      <items count="5">
        <item x="2"/>
        <item x="0"/>
        <item x="3"/>
        <item x="1"/>
        <item t="default"/>
      </items>
    </pivotField>
    <pivotField dataField="1" showAll="0"/>
    <pivotField dataField="1" showAll="0"/>
    <pivotField dataField="1" showAll="0"/>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1st Modular Exam (Mark)" fld="1" baseField="0" baseItem="0"/>
    <dataField name="2nd Modular Exam (Mark)" fld="3" baseField="0" baseItem="0"/>
    <dataField name="3rd Modular Exam (Mark)" fld="5" baseField="0" baseItem="0"/>
    <dataField name="4th Modular Exam (Mark)" fld="7" baseField="0" baseItem="0"/>
    <dataField name="Highest Mark (Modular)" fld="9" baseField="0" baseItem="0"/>
    <dataField name="Lowest Mark (Modular)" fld="10" baseField="0" baseItem="0"/>
    <dataField name="Total Mark (Modular)" fld="11" baseField="0" baseItem="0"/>
    <dataField name="1st Mock Exam (Mark)" fld="12" baseField="0" baseItem="0"/>
    <dataField name="2nd Mock Exam (Mark)" fld="14" baseField="0" baseItem="0"/>
    <dataField name="3rd Mock Exam (Mark)" fld="16" baseField="0" baseItem="0"/>
    <dataField name="4th Mock Exam (Mark)" fld="18" baseField="0" baseItem="0"/>
    <dataField name="Highest Mark (Mock)" fld="20" baseField="0" baseItem="0"/>
    <dataField name="Lowest Mark (Mokck)" fld="21" baseField="0" baseItem="0"/>
    <dataField name="Total Mrak (Mock)" fld="22" baseField="0" baseItem="0"/>
  </dataFields>
  <formats count="46">
    <format dxfId="231">
      <pivotArea type="all" dataOnly="0" outline="0" fieldPosition="0"/>
    </format>
    <format dxfId="230">
      <pivotArea outline="0" collapsedLevelsAreSubtotals="1" fieldPosition="0"/>
    </format>
    <format dxfId="229">
      <pivotArea field="0" type="button" dataOnly="0" labelOnly="1" outline="0" axis="axisRow" fieldPosition="0"/>
    </format>
    <format dxfId="228">
      <pivotArea dataOnly="0" labelOnly="1" fieldPosition="0">
        <references count="1">
          <reference field="0" count="0"/>
        </references>
      </pivotArea>
    </format>
    <format dxfId="227">
      <pivotArea dataOnly="0" labelOnly="1" grandRow="1" outline="0" fieldPosition="0"/>
    </format>
    <format dxfId="226">
      <pivotArea dataOnly="0" labelOnly="1" outline="0" fieldPosition="0">
        <references count="1">
          <reference field="4294967294" count="14">
            <x v="0"/>
            <x v="1"/>
            <x v="2"/>
            <x v="3"/>
            <x v="4"/>
            <x v="5"/>
            <x v="6"/>
            <x v="7"/>
            <x v="8"/>
            <x v="9"/>
            <x v="10"/>
            <x v="11"/>
            <x v="12"/>
            <x v="13"/>
          </reference>
        </references>
      </pivotArea>
    </format>
    <format dxfId="225">
      <pivotArea type="all" dataOnly="0" outline="0" fieldPosition="0"/>
    </format>
    <format dxfId="224">
      <pivotArea outline="0" collapsedLevelsAreSubtotals="1" fieldPosition="0"/>
    </format>
    <format dxfId="223">
      <pivotArea field="0" type="button" dataOnly="0" labelOnly="1" outline="0" axis="axisRow" fieldPosition="0"/>
    </format>
    <format dxfId="222">
      <pivotArea dataOnly="0" labelOnly="1" fieldPosition="0">
        <references count="1">
          <reference field="0" count="0"/>
        </references>
      </pivotArea>
    </format>
    <format dxfId="221">
      <pivotArea dataOnly="0" labelOnly="1" grandRow="1" outline="0" fieldPosition="0"/>
    </format>
    <format dxfId="220">
      <pivotArea dataOnly="0" labelOnly="1" outline="0" fieldPosition="0">
        <references count="1">
          <reference field="4294967294" count="14">
            <x v="0"/>
            <x v="1"/>
            <x v="2"/>
            <x v="3"/>
            <x v="4"/>
            <x v="5"/>
            <x v="6"/>
            <x v="7"/>
            <x v="8"/>
            <x v="9"/>
            <x v="10"/>
            <x v="11"/>
            <x v="12"/>
            <x v="13"/>
          </reference>
        </references>
      </pivotArea>
    </format>
    <format dxfId="219">
      <pivotArea field="0" type="button" dataOnly="0" labelOnly="1" outline="0" axis="axisRow" fieldPosition="0"/>
    </format>
    <format dxfId="218">
      <pivotArea dataOnly="0" labelOnly="1" outline="0" fieldPosition="0">
        <references count="1">
          <reference field="4294967294" count="14">
            <x v="0"/>
            <x v="1"/>
            <x v="2"/>
            <x v="3"/>
            <x v="4"/>
            <x v="5"/>
            <x v="6"/>
            <x v="7"/>
            <x v="8"/>
            <x v="9"/>
            <x v="10"/>
            <x v="11"/>
            <x v="12"/>
            <x v="13"/>
          </reference>
        </references>
      </pivotArea>
    </format>
    <format dxfId="217">
      <pivotArea type="all" dataOnly="0" outline="0" fieldPosition="0"/>
    </format>
    <format dxfId="216">
      <pivotArea outline="0" collapsedLevelsAreSubtotals="1" fieldPosition="0"/>
    </format>
    <format dxfId="215">
      <pivotArea field="0" type="button" dataOnly="0" labelOnly="1" outline="0" axis="axisRow" fieldPosition="0"/>
    </format>
    <format dxfId="214">
      <pivotArea dataOnly="0" labelOnly="1" fieldPosition="0">
        <references count="1">
          <reference field="0" count="0"/>
        </references>
      </pivotArea>
    </format>
    <format dxfId="213">
      <pivotArea dataOnly="0" labelOnly="1" grandRow="1" outline="0" fieldPosition="0"/>
    </format>
    <format dxfId="212">
      <pivotArea dataOnly="0" labelOnly="1" outline="0" fieldPosition="0">
        <references count="1">
          <reference field="4294967294" count="14">
            <x v="0"/>
            <x v="1"/>
            <x v="2"/>
            <x v="3"/>
            <x v="4"/>
            <x v="5"/>
            <x v="6"/>
            <x v="7"/>
            <x v="8"/>
            <x v="9"/>
            <x v="10"/>
            <x v="11"/>
            <x v="12"/>
            <x v="13"/>
          </reference>
        </references>
      </pivotArea>
    </format>
    <format dxfId="211">
      <pivotArea field="0" type="button" dataOnly="0" labelOnly="1" outline="0" axis="axisRow" fieldPosition="0"/>
    </format>
    <format dxfId="210">
      <pivotArea dataOnly="0" labelOnly="1" outline="0" fieldPosition="0">
        <references count="1">
          <reference field="4294967294" count="14">
            <x v="0"/>
            <x v="1"/>
            <x v="2"/>
            <x v="3"/>
            <x v="4"/>
            <x v="5"/>
            <x v="6"/>
            <x v="7"/>
            <x v="8"/>
            <x v="9"/>
            <x v="10"/>
            <x v="11"/>
            <x v="12"/>
            <x v="13"/>
          </reference>
        </references>
      </pivotArea>
    </format>
    <format dxfId="209">
      <pivotArea grandRow="1" outline="0" collapsedLevelsAreSubtotals="1" fieldPosition="0"/>
    </format>
    <format dxfId="208">
      <pivotArea dataOnly="0" labelOnly="1" grandRow="1" outline="0" fieldPosition="0"/>
    </format>
    <format dxfId="207">
      <pivotArea type="all" dataOnly="0" outline="0" fieldPosition="0"/>
    </format>
    <format dxfId="206">
      <pivotArea outline="0" collapsedLevelsAreSubtotals="1" fieldPosition="0"/>
    </format>
    <format dxfId="205">
      <pivotArea dataOnly="0" labelOnly="1" fieldPosition="0">
        <references count="1">
          <reference field="0" count="0"/>
        </references>
      </pivotArea>
    </format>
    <format dxfId="204">
      <pivotArea outline="0" collapsedLevelsAreSubtotals="1" fieldPosition="0">
        <references count="1">
          <reference field="4294967294" count="3" selected="0">
            <x v="4"/>
            <x v="5"/>
            <x v="6"/>
          </reference>
        </references>
      </pivotArea>
    </format>
    <format dxfId="203">
      <pivotArea outline="0" collapsedLevelsAreSubtotals="1" fieldPosition="0">
        <references count="1">
          <reference field="4294967294" count="3" selected="0">
            <x v="11"/>
            <x v="12"/>
            <x v="13"/>
          </reference>
        </references>
      </pivotArea>
    </format>
    <format dxfId="202">
      <pivotArea field="0" type="button" dataOnly="0" labelOnly="1" outline="0" axis="axisRow" fieldPosition="0"/>
    </format>
    <format dxfId="201">
      <pivotArea dataOnly="0" labelOnly="1" outline="0" fieldPosition="0">
        <references count="1">
          <reference field="4294967294" count="14">
            <x v="0"/>
            <x v="1"/>
            <x v="2"/>
            <x v="3"/>
            <x v="4"/>
            <x v="5"/>
            <x v="6"/>
            <x v="7"/>
            <x v="8"/>
            <x v="9"/>
            <x v="10"/>
            <x v="11"/>
            <x v="12"/>
            <x v="13"/>
          </reference>
        </references>
      </pivotArea>
    </format>
    <format dxfId="200">
      <pivotArea grandRow="1" outline="0" collapsedLevelsAreSubtotals="1" fieldPosition="0"/>
    </format>
    <format dxfId="199">
      <pivotArea dataOnly="0" labelOnly="1" grandRow="1" outline="0" fieldPosition="0"/>
    </format>
    <format dxfId="198">
      <pivotArea field="0" type="button" dataOnly="0" labelOnly="1" outline="0" axis="axisRow" fieldPosition="0"/>
    </format>
    <format dxfId="197">
      <pivotArea dataOnly="0" labelOnly="1" outline="0" fieldPosition="0">
        <references count="1">
          <reference field="4294967294" count="14">
            <x v="0"/>
            <x v="1"/>
            <x v="2"/>
            <x v="3"/>
            <x v="4"/>
            <x v="5"/>
            <x v="6"/>
            <x v="7"/>
            <x v="8"/>
            <x v="9"/>
            <x v="10"/>
            <x v="11"/>
            <x v="12"/>
            <x v="13"/>
          </reference>
        </references>
      </pivotArea>
    </format>
    <format dxfId="196">
      <pivotArea field="0" type="button" dataOnly="0" labelOnly="1" outline="0" axis="axisRow" fieldPosition="0"/>
    </format>
    <format dxfId="195">
      <pivotArea dataOnly="0" labelOnly="1" outline="0" fieldPosition="0">
        <references count="1">
          <reference field="4294967294" count="14">
            <x v="0"/>
            <x v="1"/>
            <x v="2"/>
            <x v="3"/>
            <x v="4"/>
            <x v="5"/>
            <x v="6"/>
            <x v="7"/>
            <x v="8"/>
            <x v="9"/>
            <x v="10"/>
            <x v="11"/>
            <x v="12"/>
            <x v="13"/>
          </reference>
        </references>
      </pivotArea>
    </format>
    <format dxfId="194">
      <pivotArea grandRow="1" outline="0" collapsedLevelsAreSubtotals="1" fieldPosition="0"/>
    </format>
    <format dxfId="193">
      <pivotArea dataOnly="0" labelOnly="1" grandRow="1" outline="0" fieldPosition="0"/>
    </format>
    <format dxfId="192">
      <pivotArea grandRow="1" outline="0" collapsedLevelsAreSubtotals="1" fieldPosition="0"/>
    </format>
    <format dxfId="191">
      <pivotArea dataOnly="0" labelOnly="1" grandRow="1" outline="0" fieldPosition="0"/>
    </format>
    <format dxfId="190">
      <pivotArea field="0" type="button" dataOnly="0" labelOnly="1" outline="0" axis="axisRow" fieldPosition="0"/>
    </format>
    <format dxfId="189">
      <pivotArea dataOnly="0" labelOnly="1" outline="0" fieldPosition="0">
        <references count="1">
          <reference field="4294967294" count="14">
            <x v="0"/>
            <x v="1"/>
            <x v="2"/>
            <x v="3"/>
            <x v="4"/>
            <x v="5"/>
            <x v="6"/>
            <x v="7"/>
            <x v="8"/>
            <x v="9"/>
            <x v="10"/>
            <x v="11"/>
            <x v="12"/>
            <x v="13"/>
          </reference>
        </references>
      </pivotArea>
    </format>
    <format dxfId="188">
      <pivotArea dataOnly="0" labelOnly="1" fieldPosition="0">
        <references count="1">
          <reference field="0" count="0"/>
        </references>
      </pivotArea>
    </format>
    <format dxfId="187">
      <pivotArea dataOnly="0" labelOnly="1" grandRow="1" outline="0" fieldPosition="0"/>
    </format>
    <format dxfId="18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1st_Modular__Grade" xr10:uid="{00000000-0013-0000-FFFF-FFFF01000000}" sourceName="1st Modular (Grade)">
  <pivotTables>
    <pivotTable tabId="12" name="PivotTable2"/>
  </pivotTables>
  <data>
    <tabular pivotCacheId="697761831">
      <items count="4">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2nd_Modular__Grade" xr10:uid="{00000000-0013-0000-FFFF-FFFF02000000}" sourceName="2nd Modular (Grade)">
  <pivotTables>
    <pivotTable tabId="12" name="PivotTable2"/>
  </pivotTables>
  <data>
    <tabular pivotCacheId="697761831">
      <items count="4">
        <i x="2" s="1"/>
        <i x="1"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ed_Modular__Grade" xr10:uid="{00000000-0013-0000-FFFF-FFFF03000000}" sourceName="3ed Modular (Grade)">
  <pivotTables>
    <pivotTable tabId="12" name="PivotTable2"/>
  </pivotTables>
  <data>
    <tabular pivotCacheId="697761831">
      <items count="4">
        <i x="3" s="1"/>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4th_Modular__Grade" xr10:uid="{00000000-0013-0000-FFFF-FFFF04000000}" sourceName="4th Modular (Grade)">
  <pivotTables>
    <pivotTable tabId="12" name="PivotTable2"/>
  </pivotTables>
  <data>
    <tabular pivotCacheId="697761831">
      <items count="4">
        <i x="3" s="1"/>
        <i x="1"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1st_Mock__Grade_3" xr10:uid="{00000000-0013-0000-FFFF-FFFF05000000}" sourceName="1st Mock (Grade)3">
  <pivotTables>
    <pivotTable tabId="12" name="PivotTable2"/>
  </pivotTables>
  <data>
    <tabular pivotCacheId="697761831">
      <items count="4">
        <i x="1" s="1"/>
        <i x="2" s="1"/>
        <i x="3"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2nd_Mock__Grade_5" xr10:uid="{00000000-0013-0000-FFFF-FFFF06000000}" sourceName="2nd Mock (Grade)5">
  <pivotTables>
    <pivotTable tabId="12" name="PivotTable2"/>
  </pivotTables>
  <data>
    <tabular pivotCacheId="697761831">
      <items count="4">
        <i x="0" s="1"/>
        <i x="2" s="1"/>
        <i x="1" s="1"/>
        <i x="3"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ed_Mock__Grade_7" xr10:uid="{00000000-0013-0000-FFFF-FFFF07000000}" sourceName="3ed Mock (Grade)7">
  <pivotTables>
    <pivotTable tabId="12" name="PivotTable2"/>
  </pivotTables>
  <data>
    <tabular pivotCacheId="697761831">
      <items count="4">
        <i x="2" s="1"/>
        <i x="0" s="1"/>
        <i x="3"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1st_Modular__Grade1" xr10:uid="{00000000-0013-0000-FFFF-FFFF08000000}" sourceName="1st Modular (Grade)">
  <pivotTables>
    <pivotTable tabId="12" name="PivotTable3"/>
  </pivotTables>
  <data>
    <tabular pivotCacheId="877836955">
      <items count="4">
        <i x="3" s="1"/>
        <i x="2" s="1"/>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2nd_Modular__Grade1" xr10:uid="{00000000-0013-0000-FFFF-FFFF09000000}" sourceName="2nd Modular (Grade)">
  <pivotTables>
    <pivotTable tabId="12" name="PivotTable3"/>
  </pivotTables>
  <data>
    <tabular pivotCacheId="877836955">
      <items count="4">
        <i x="1" s="1"/>
        <i x="3" s="1"/>
        <i x="2" s="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ed_Modular__Grade1" xr10:uid="{00000000-0013-0000-FFFF-FFFF0A000000}" sourceName="3ed Modular (Grade)">
  <pivotTables>
    <pivotTable tabId="12" name="PivotTable3"/>
  </pivotTables>
  <data>
    <tabular pivotCacheId="877836955">
      <items count="4">
        <i x="1" s="1"/>
        <i x="2" s="1"/>
        <i x="3" s="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4th_Modular__Grade1" xr10:uid="{00000000-0013-0000-FFFF-FFFF0B000000}" sourceName="4th Modular (Grade)">
  <pivotTables>
    <pivotTable tabId="12" name="PivotTable3"/>
  </pivotTables>
  <data>
    <tabular pivotCacheId="877836955">
      <items count="4">
        <i x="1" s="1"/>
        <i x="2" s="1"/>
        <i x="3" s="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1st_Mock__Grade_31" xr10:uid="{00000000-0013-0000-FFFF-FFFF0C000000}" sourceName="1st Mock (Grade)3">
  <pivotTables>
    <pivotTable tabId="12" name="PivotTable3"/>
  </pivotTables>
  <data>
    <tabular pivotCacheId="877836955">
      <items count="4">
        <i x="0" s="1"/>
        <i x="3" s="1"/>
        <i x="1" s="1"/>
        <i x="2"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2nd_Mock__Grade_51" xr10:uid="{00000000-0013-0000-FFFF-FFFF0D000000}" sourceName="2nd Mock (Grade)5">
  <pivotTables>
    <pivotTable tabId="12" name="PivotTable3"/>
  </pivotTables>
  <data>
    <tabular pivotCacheId="877836955">
      <items count="4">
        <i x="3" s="1"/>
        <i x="2" s="1"/>
        <i x="1" s="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ed_Mock__Grade_71" xr10:uid="{00000000-0013-0000-FFFF-FFFF0E000000}" sourceName="3ed Mock (Grade)7">
  <pivotTables>
    <pivotTable tabId="12" name="PivotTable3"/>
  </pivotTables>
  <data>
    <tabular pivotCacheId="877836955">
      <items count="4">
        <i x="2" s="1"/>
        <i x="0" s="1"/>
        <i x="3"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4th_Mock__Grade_9" xr10:uid="{00000000-0013-0000-FFFF-FFFF0F000000}" sourceName="4th Mock (Grade)9">
  <pivotTables>
    <pivotTable tabId="12" name="PivotTable3"/>
  </pivotTables>
  <data>
    <tabular pivotCacheId="877836955">
      <items count="4">
        <i x="2" s="1"/>
        <i x="0" s="1"/>
        <i x="3" s="1"/>
        <i x="1"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1st_Modular__Grade2" xr10:uid="{00000000-0013-0000-FFFF-FFFF10000000}" sourceName="1st Modular (Grade)">
  <pivotTables>
    <pivotTable tabId="12" name="PivotTable5"/>
  </pivotTables>
  <data>
    <tabular pivotCacheId="1902223157">
      <items count="4">
        <i x="3" s="1"/>
        <i x="1" s="1"/>
        <i x="2" s="1"/>
        <i x="0"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2nd_Modular__Grade2" xr10:uid="{00000000-0013-0000-FFFF-FFFF11000000}" sourceName="2nd Modular (Grade)">
  <pivotTables>
    <pivotTable tabId="12" name="PivotTable5"/>
  </pivotTables>
  <data>
    <tabular pivotCacheId="1902223157">
      <items count="4">
        <i x="2" s="1"/>
        <i x="1" s="1"/>
        <i x="0" s="1"/>
        <i x="3"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ed_Modular__Grade2" xr10:uid="{00000000-0013-0000-FFFF-FFFF12000000}" sourceName="3ed Modular (Grade)">
  <pivotTables>
    <pivotTable tabId="12" name="PivotTable5"/>
  </pivotTables>
  <data>
    <tabular pivotCacheId="1902223157">
      <items count="4">
        <i x="1" s="1"/>
        <i x="2" s="1"/>
        <i x="3" s="1"/>
        <i x="0"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4th_Modular__Grade2" xr10:uid="{00000000-0013-0000-FFFF-FFFF13000000}" sourceName="4th Modular (Grade)">
  <pivotTables>
    <pivotTable tabId="12" name="PivotTable5"/>
  </pivotTables>
  <data>
    <tabular pivotCacheId="1902223157">
      <items count="4">
        <i x="3" s="1"/>
        <i x="2" s="1"/>
        <i x="1" s="1"/>
        <i x="0"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1st_Mock__Grade_32" xr10:uid="{00000000-0013-0000-FFFF-FFFF14000000}" sourceName="1st Mock (Grade)3">
  <pivotTables>
    <pivotTable tabId="12" name="PivotTable5"/>
  </pivotTables>
  <data>
    <tabular pivotCacheId="1902223157">
      <items count="4">
        <i x="1" s="1"/>
        <i x="0" s="1"/>
        <i x="3" s="1"/>
        <i x="2"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2nd_Mock__Grade_52" xr10:uid="{00000000-0013-0000-FFFF-FFFF15000000}" sourceName="2nd Mock (Grade)5">
  <pivotTables>
    <pivotTable tabId="12" name="PivotTable5"/>
  </pivotTables>
  <data>
    <tabular pivotCacheId="1902223157">
      <items count="4">
        <i x="2" s="1"/>
        <i x="1" s="1"/>
        <i x="3" s="1"/>
        <i x="0" s="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ed_Mock__Grade_72" xr10:uid="{00000000-0013-0000-FFFF-FFFF16000000}" sourceName="3ed Mock (Grade)7">
  <pivotTables>
    <pivotTable tabId="12" name="PivotTable5"/>
  </pivotTables>
  <data>
    <tabular pivotCacheId="1902223157">
      <items count="4">
        <i x="3" s="1"/>
        <i x="1" s="1"/>
        <i x="2" s="1"/>
        <i x="0"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4th_Mock__Grade_91" xr10:uid="{00000000-0013-0000-FFFF-FFFF17000000}" sourceName="4th Mock (Grade)9">
  <pivotTables>
    <pivotTable tabId="12" name="PivotTable5"/>
  </pivotTables>
  <data>
    <tabular pivotCacheId="1902223157">
      <items count="4">
        <i x="2" s="1"/>
        <i x="0"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1st Modular (Grade)" xr10:uid="{00000000-0014-0000-FFFF-FFFF01000000}" cache="Slicer_1st_Modular__Grade" caption="1st Modular (Grade)" rowHeight="234950"/>
  <slicer name="2nd Modular (Grade)" xr10:uid="{00000000-0014-0000-FFFF-FFFF02000000}" cache="Slicer_2nd_Modular__Grade" caption="2nd Modular (Grade)" rowHeight="234950"/>
  <slicer name="3rd Modular (Grade)" xr10:uid="{00000000-0014-0000-FFFF-FFFF03000000}" cache="Slicer_3ed_Modular__Grade" caption="3rd Modular (Grade)" rowHeight="234950"/>
  <slicer name="4th Modular (Grade)" xr10:uid="{00000000-0014-0000-FFFF-FFFF04000000}" cache="Slicer_4th_Modular__Grade" caption="4th Modular (Grade)" rowHeight="234950"/>
  <slicer name="4th Modular (Grade) 1" xr10:uid="{00000000-0014-0000-FFFF-FFFF05000000}" cache="Slicer_4th_Modular__Grade" caption="4th Modular (Grade)" rowHeight="234950"/>
  <slicer name="1st Mock (Grade)3" xr10:uid="{00000000-0014-0000-FFFF-FFFF06000000}" cache="Slicer_1st_Mock__Grade_3" caption="1st Mock (Grade)3" rowHeight="234950"/>
  <slicer name="2nd Mock (Grade)5" xr10:uid="{00000000-0014-0000-FFFF-FFFF07000000}" cache="Slicer_2nd_Mock__Grade_5" caption="2nd Mock (Grade)5" rowHeight="234950"/>
  <slicer name="3rd Mock (Grade)7" xr10:uid="{00000000-0014-0000-FFFF-FFFF08000000}" cache="Slicer_3ed_Mock__Grade_7" caption="3rd Mock (Grade)7" rowHeight="234950"/>
  <slicer name="1st Modular (Grade) 1" xr10:uid="{00000000-0014-0000-FFFF-FFFF09000000}" cache="Slicer_1st_Modular__Grade1" caption="1st Modular (Grade)" rowHeight="234950"/>
  <slicer name="2nd Modular (Grade) 1" xr10:uid="{00000000-0014-0000-FFFF-FFFF0A000000}" cache="Slicer_2nd_Modular__Grade1" caption="2nd Modular (Grade)" rowHeight="234950"/>
  <slicer name="3rd Modular (Grade) 1" xr10:uid="{00000000-0014-0000-FFFF-FFFF0B000000}" cache="Slicer_3ed_Modular__Grade1" caption="3rd Modular (Grade)" rowHeight="234950"/>
  <slicer name="4th Modular (Grade) 2" xr10:uid="{00000000-0014-0000-FFFF-FFFF0C000000}" cache="Slicer_4th_Modular__Grade1" caption="4th Modular (Grade)" rowHeight="234950"/>
  <slicer name="1st Mock (Grade)3 1" xr10:uid="{00000000-0014-0000-FFFF-FFFF0D000000}" cache="Slicer_1st_Mock__Grade_31" caption="1st Mock (Grade)3" rowHeight="234950"/>
  <slicer name="2nd Mock (Grade)5 1" xr10:uid="{00000000-0014-0000-FFFF-FFFF0E000000}" cache="Slicer_2nd_Mock__Grade_51" caption="2nd Mock (Grade)5" rowHeight="234950"/>
  <slicer name="3rd Mock (Grade)7 1" xr10:uid="{00000000-0014-0000-FFFF-FFFF0F000000}" cache="Slicer_3ed_Mock__Grade_71" caption="3rd Mock (Grade)7" rowHeight="234950"/>
  <slicer name="4th Mock (Grade)9" xr10:uid="{00000000-0014-0000-FFFF-FFFF10000000}" cache="Slicer_4th_Mock__Grade_9" caption="4th Mock (Grade)9" rowHeight="234950"/>
  <slicer name="1st Modular (Grade) 2" xr10:uid="{00000000-0014-0000-FFFF-FFFF11000000}" cache="Slicer_1st_Modular__Grade2" caption="1st Modular (Grade)" rowHeight="234950"/>
  <slicer name="2nd Modular (Grade) 2" xr10:uid="{00000000-0014-0000-FFFF-FFFF12000000}" cache="Slicer_2nd_Modular__Grade2" caption="2nd Modular (Grade)" rowHeight="234950"/>
  <slicer name="3rd Modular (Grade) 2" xr10:uid="{00000000-0014-0000-FFFF-FFFF13000000}" cache="Slicer_3ed_Modular__Grade2" caption="3rd Modular (Grade)" rowHeight="234950"/>
  <slicer name="4th Modular (Grade) 3" xr10:uid="{00000000-0014-0000-FFFF-FFFF14000000}" cache="Slicer_4th_Modular__Grade2" caption="4th Modular (Grade)" rowHeight="234950"/>
  <slicer name="1st Mock (Grade)3 3" xr10:uid="{00000000-0014-0000-FFFF-FFFF15000000}" cache="Slicer_1st_Mock__Grade_32" caption="1st Mock (Grade)3" rowHeight="234950"/>
  <slicer name="2nd Mock (Grade)5 2" xr10:uid="{00000000-0014-0000-FFFF-FFFF16000000}" cache="Slicer_2nd_Mock__Grade_52" caption="2nd Mock (Grade)5" rowHeight="234950"/>
  <slicer name="3rd Mock (Grade)7 2" xr10:uid="{00000000-0014-0000-FFFF-FFFF17000000}" cache="Slicer_3ed_Mock__Grade_72" caption="3rd Mock (Grade)7" rowHeight="234950"/>
  <slicer name="4th Mock (Grade)9 1" xr10:uid="{00000000-0014-0000-FFFF-FFFF18000000}" cache="Slicer_4th_Mock__Grade_91" caption="4th Mock (Grade)9"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4:Z34" totalsRowShown="0" headerRowDxfId="83" dataDxfId="81" headerRowBorderDxfId="82" tableBorderDxfId="80" totalsRowBorderDxfId="79">
  <autoFilter ref="D4:Z34" xr:uid="{00000000-0009-0000-0100-000001000000}"/>
  <tableColumns count="23">
    <tableColumn id="1" xr3:uid="{00000000-0010-0000-0000-000001000000}" name="Student Name" dataDxfId="78"/>
    <tableColumn id="2" xr3:uid="{00000000-0010-0000-0000-000002000000}" name="1st Modular (Mark)" dataDxfId="77"/>
    <tableColumn id="3" xr3:uid="{00000000-0010-0000-0000-000003000000}" name="1st Modular (Grade)" dataDxfId="76"/>
    <tableColumn id="4" xr3:uid="{00000000-0010-0000-0000-000004000000}" name="2nd Exam (Mark)" dataDxfId="75"/>
    <tableColumn id="5" xr3:uid="{00000000-0010-0000-0000-000005000000}" name="2nd Modular (Grade)" dataDxfId="74"/>
    <tableColumn id="6" xr3:uid="{00000000-0010-0000-0000-000006000000}" name="3rd Modular (Mark)" dataDxfId="73"/>
    <tableColumn id="7" xr3:uid="{00000000-0010-0000-0000-000007000000}" name="3rd Modular (Grade)" dataDxfId="72"/>
    <tableColumn id="8" xr3:uid="{00000000-0010-0000-0000-000008000000}" name="4th Modular (Mark)" dataDxfId="71"/>
    <tableColumn id="9" xr3:uid="{00000000-0010-0000-0000-000009000000}" name="4th Modular (Grade)" dataDxfId="70"/>
    <tableColumn id="10" xr3:uid="{00000000-0010-0000-0000-00000A000000}" name="Max Mark" dataDxfId="69">
      <calculatedColumnFormula>MAX(E5,G5,I5,K5)</calculatedColumnFormula>
    </tableColumn>
    <tableColumn id="11" xr3:uid="{00000000-0010-0000-0000-00000B000000}" name="Min Mark" dataDxfId="68">
      <calculatedColumnFormula>MIN(E5,G5,I5,K5)</calculatedColumnFormula>
    </tableColumn>
    <tableColumn id="12" xr3:uid="{00000000-0010-0000-0000-00000C000000}" name="Total Mrak" dataDxfId="67">
      <calculatedColumnFormula>SUM(E5,G5,I5,K5)</calculatedColumnFormula>
    </tableColumn>
    <tableColumn id="13" xr3:uid="{00000000-0010-0000-0000-00000D000000}" name="1st Mock (Mark)2" dataDxfId="66"/>
    <tableColumn id="14" xr3:uid="{00000000-0010-0000-0000-00000E000000}" name="1st Mock (Grade)3" dataDxfId="65"/>
    <tableColumn id="15" xr3:uid="{00000000-0010-0000-0000-00000F000000}" name="2nd Mock (Mark)4" dataDxfId="64"/>
    <tableColumn id="16" xr3:uid="{00000000-0010-0000-0000-000010000000}" name="2nd Mock (Grade)5" dataDxfId="63"/>
    <tableColumn id="17" xr3:uid="{00000000-0010-0000-0000-000011000000}" name="3rd Mock (Mark)6" dataDxfId="62"/>
    <tableColumn id="18" xr3:uid="{00000000-0010-0000-0000-000012000000}" name="3rd Mock (Grade)7" dataDxfId="61"/>
    <tableColumn id="19" xr3:uid="{00000000-0010-0000-0000-000013000000}" name="4th Mock (Mark)8" dataDxfId="60"/>
    <tableColumn id="20" xr3:uid="{00000000-0010-0000-0000-000014000000}" name="4th Mock (Grade)9" dataDxfId="59"/>
    <tableColumn id="21" xr3:uid="{00000000-0010-0000-0000-000015000000}" name="Max Mark10" dataDxfId="58">
      <calculatedColumnFormula>MAX(P5,R5,T5,V5)</calculatedColumnFormula>
    </tableColumn>
    <tableColumn id="22" xr3:uid="{00000000-0010-0000-0000-000016000000}" name="Min Mark11" dataDxfId="57">
      <calculatedColumnFormula>MIN(P5,R5,T5,V5)</calculatedColumnFormula>
    </tableColumn>
    <tableColumn id="23" xr3:uid="{00000000-0010-0000-0000-000017000000}" name="Total Mrak12" dataDxfId="56">
      <calculatedColumnFormula>SUM(P5,R5,T5,V5)</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D48:Z78" totalsRowShown="0" headerRowDxfId="55" dataDxfId="53" headerRowBorderDxfId="54" tableBorderDxfId="52" totalsRowBorderDxfId="51">
  <autoFilter ref="D48:Z78" xr:uid="{00000000-0009-0000-0100-000003000000}"/>
  <tableColumns count="23">
    <tableColumn id="1" xr3:uid="{00000000-0010-0000-0100-000001000000}" name="Student Name" dataDxfId="50"/>
    <tableColumn id="2" xr3:uid="{00000000-0010-0000-0100-000002000000}" name="1st Modular (Mark)" dataDxfId="49"/>
    <tableColumn id="3" xr3:uid="{00000000-0010-0000-0100-000003000000}" name="1st Modular (Grade)" dataDxfId="48"/>
    <tableColumn id="4" xr3:uid="{00000000-0010-0000-0100-000004000000}" name="2nd Exam (Mark)" dataDxfId="47"/>
    <tableColumn id="5" xr3:uid="{00000000-0010-0000-0100-000005000000}" name="2nd Modular (Grade)" dataDxfId="46"/>
    <tableColumn id="6" xr3:uid="{00000000-0010-0000-0100-000006000000}" name="3rd Modular (Mark)" dataDxfId="45"/>
    <tableColumn id="7" xr3:uid="{00000000-0010-0000-0100-000007000000}" name="3rd Modular (Grade)" dataDxfId="44"/>
    <tableColumn id="8" xr3:uid="{00000000-0010-0000-0100-000008000000}" name="4th Modular (Mark)" dataDxfId="43"/>
    <tableColumn id="9" xr3:uid="{00000000-0010-0000-0100-000009000000}" name="4th Modular (Grade)" dataDxfId="42"/>
    <tableColumn id="10" xr3:uid="{00000000-0010-0000-0100-00000A000000}" name="Max Mark" dataDxfId="41">
      <calculatedColumnFormula>MAX(E49,G49,I49,K49)</calculatedColumnFormula>
    </tableColumn>
    <tableColumn id="11" xr3:uid="{00000000-0010-0000-0100-00000B000000}" name="Min Mark" dataDxfId="40">
      <calculatedColumnFormula>MIN(E49,G49,I49,K49)</calculatedColumnFormula>
    </tableColumn>
    <tableColumn id="12" xr3:uid="{00000000-0010-0000-0100-00000C000000}" name="Total Mrak" dataDxfId="39">
      <calculatedColumnFormula>SUM(E49,G49,I49,K49)</calculatedColumnFormula>
    </tableColumn>
    <tableColumn id="13" xr3:uid="{00000000-0010-0000-0100-00000D000000}" name="1st Mock (Mark)2" dataDxfId="38"/>
    <tableColumn id="14" xr3:uid="{00000000-0010-0000-0100-00000E000000}" name="1st Mock (Grade)3" dataDxfId="37"/>
    <tableColumn id="15" xr3:uid="{00000000-0010-0000-0100-00000F000000}" name="2nd Mock (Mark)4" dataDxfId="36"/>
    <tableColumn id="16" xr3:uid="{00000000-0010-0000-0100-000010000000}" name="2nd Mock (Grade)5" dataDxfId="35"/>
    <tableColumn id="17" xr3:uid="{00000000-0010-0000-0100-000011000000}" name="3rd Mock (Mark)6" dataDxfId="34"/>
    <tableColumn id="18" xr3:uid="{00000000-0010-0000-0100-000012000000}" name="3rd Mock (Grade)7" dataDxfId="33"/>
    <tableColumn id="19" xr3:uid="{00000000-0010-0000-0100-000013000000}" name="4th Mock (Mark)8" dataDxfId="32"/>
    <tableColumn id="20" xr3:uid="{00000000-0010-0000-0100-000014000000}" name="4th Mock (Grade)9" dataDxfId="31"/>
    <tableColumn id="21" xr3:uid="{00000000-0010-0000-0100-000015000000}" name="Max Mark10" dataDxfId="30">
      <calculatedColumnFormula>MAX(P49,R49,T49,V49)</calculatedColumnFormula>
    </tableColumn>
    <tableColumn id="22" xr3:uid="{00000000-0010-0000-0100-000016000000}" name="Min Mark11" dataDxfId="29">
      <calculatedColumnFormula>MIN(P49,R49,T49,V49)</calculatedColumnFormula>
    </tableColumn>
    <tableColumn id="23" xr3:uid="{00000000-0010-0000-0100-000017000000}" name="Total Mrak12" dataDxfId="28">
      <calculatedColumnFormula>SUM(P49,R49,T49,V49)</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D82:Z112" totalsRowShown="0" headerRowDxfId="27" dataDxfId="25" headerRowBorderDxfId="26" tableBorderDxfId="24" totalsRowBorderDxfId="23">
  <autoFilter ref="D82:Z112" xr:uid="{00000000-0009-0000-0100-000004000000}"/>
  <tableColumns count="23">
    <tableColumn id="1" xr3:uid="{00000000-0010-0000-0200-000001000000}" name="Student Name" dataDxfId="22"/>
    <tableColumn id="2" xr3:uid="{00000000-0010-0000-0200-000002000000}" name="1st Modular (Mark)" dataDxfId="21"/>
    <tableColumn id="3" xr3:uid="{00000000-0010-0000-0200-000003000000}" name="1st Modular (Grade)" dataDxfId="20"/>
    <tableColumn id="4" xr3:uid="{00000000-0010-0000-0200-000004000000}" name="2nd Exam (Mark)" dataDxfId="19"/>
    <tableColumn id="5" xr3:uid="{00000000-0010-0000-0200-000005000000}" name="2nd Modular (Grade)" dataDxfId="18"/>
    <tableColumn id="6" xr3:uid="{00000000-0010-0000-0200-000006000000}" name="3rd Modular (Mark)" dataDxfId="17"/>
    <tableColumn id="7" xr3:uid="{00000000-0010-0000-0200-000007000000}" name="3rd Modular (Grade)" dataDxfId="16"/>
    <tableColumn id="8" xr3:uid="{00000000-0010-0000-0200-000008000000}" name="4th Modular (Mark)" dataDxfId="15"/>
    <tableColumn id="9" xr3:uid="{00000000-0010-0000-0200-000009000000}" name="4th Modular (Grade)" dataDxfId="14"/>
    <tableColumn id="10" xr3:uid="{00000000-0010-0000-0200-00000A000000}" name="Max Mark" dataDxfId="13">
      <calculatedColumnFormula>MAX(E83,G83,I83,K83)</calculatedColumnFormula>
    </tableColumn>
    <tableColumn id="11" xr3:uid="{00000000-0010-0000-0200-00000B000000}" name="Min Mark" dataDxfId="12">
      <calculatedColumnFormula>MIN(E83,G83,I83,K83)</calculatedColumnFormula>
    </tableColumn>
    <tableColumn id="12" xr3:uid="{00000000-0010-0000-0200-00000C000000}" name="Total Mrak" dataDxfId="11">
      <calculatedColumnFormula>SUM(E83,G83,I83,K83)</calculatedColumnFormula>
    </tableColumn>
    <tableColumn id="13" xr3:uid="{00000000-0010-0000-0200-00000D000000}" name="1st Mock (Mark)2" dataDxfId="10"/>
    <tableColumn id="14" xr3:uid="{00000000-0010-0000-0200-00000E000000}" name="1st Mock (Grade)3" dataDxfId="9"/>
    <tableColumn id="15" xr3:uid="{00000000-0010-0000-0200-00000F000000}" name="2nd Mock (Mark)4" dataDxfId="8"/>
    <tableColumn id="16" xr3:uid="{00000000-0010-0000-0200-000010000000}" name="2nd Mock (Grade)5" dataDxfId="7"/>
    <tableColumn id="17" xr3:uid="{00000000-0010-0000-0200-000011000000}" name="3rd Mock (Mark)6" dataDxfId="6"/>
    <tableColumn id="18" xr3:uid="{00000000-0010-0000-0200-000012000000}" name="3rd Mock (Grade)7" dataDxfId="5"/>
    <tableColumn id="19" xr3:uid="{00000000-0010-0000-0200-000013000000}" name="4th Mock (Mark)8" dataDxfId="4"/>
    <tableColumn id="20" xr3:uid="{00000000-0010-0000-0200-000014000000}" name="4th Mock (Grade)9" dataDxfId="3"/>
    <tableColumn id="21" xr3:uid="{00000000-0010-0000-0200-000015000000}" name="Max Mark10" dataDxfId="2">
      <calculatedColumnFormula>MAX(P83,R83,T83,V83)</calculatedColumnFormula>
    </tableColumn>
    <tableColumn id="22" xr3:uid="{00000000-0010-0000-0200-000016000000}" name="Min Mark11" dataDxfId="1">
      <calculatedColumnFormula>MIN(P83,R83,T83,V83)</calculatedColumnFormula>
    </tableColumn>
    <tableColumn id="23" xr3:uid="{00000000-0010-0000-0200-000017000000}" name="Total Mrak12" dataDxfId="0">
      <calculatedColumnFormula>SUM(P83,R83,T83,V83)</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6.xm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T36"/>
  <sheetViews>
    <sheetView tabSelected="1" zoomScale="85" zoomScaleNormal="85" workbookViewId="0">
      <selection activeCell="B2" sqref="B2:G4"/>
    </sheetView>
  </sheetViews>
  <sheetFormatPr defaultColWidth="9.109375" defaultRowHeight="14.4" x14ac:dyDescent="0.3"/>
  <cols>
    <col min="1" max="16384" width="9.109375" style="22"/>
  </cols>
  <sheetData>
    <row r="1" spans="2:20" x14ac:dyDescent="0.3">
      <c r="N1" s="43"/>
      <c r="O1" s="43"/>
      <c r="P1" s="43"/>
      <c r="Q1" s="43"/>
      <c r="R1" s="43"/>
      <c r="S1" s="43"/>
      <c r="T1" s="43"/>
    </row>
    <row r="2" spans="2:20" x14ac:dyDescent="0.3">
      <c r="B2" s="71" t="s">
        <v>273</v>
      </c>
      <c r="C2" s="71"/>
      <c r="D2" s="71"/>
      <c r="E2" s="71"/>
      <c r="F2" s="71"/>
      <c r="G2" s="71"/>
      <c r="H2" s="43"/>
    </row>
    <row r="3" spans="2:20" x14ac:dyDescent="0.3">
      <c r="B3" s="71"/>
      <c r="C3" s="71"/>
      <c r="D3" s="71"/>
      <c r="E3" s="71"/>
      <c r="F3" s="71"/>
      <c r="G3" s="71"/>
      <c r="H3" s="43"/>
    </row>
    <row r="4" spans="2:20" x14ac:dyDescent="0.3">
      <c r="B4" s="71"/>
      <c r="C4" s="71"/>
      <c r="D4" s="71"/>
      <c r="E4" s="71"/>
      <c r="F4" s="71"/>
      <c r="G4" s="71"/>
      <c r="H4" s="43"/>
    </row>
    <row r="5" spans="2:20" x14ac:dyDescent="0.3">
      <c r="B5" s="72"/>
      <c r="C5" s="72"/>
      <c r="D5" s="72"/>
      <c r="E5" s="72"/>
      <c r="F5" s="72"/>
      <c r="G5" s="72"/>
      <c r="H5" s="43"/>
    </row>
    <row r="6" spans="2:20" x14ac:dyDescent="0.3">
      <c r="B6" s="73"/>
      <c r="C6" s="73"/>
      <c r="D6" s="73"/>
      <c r="E6" s="73"/>
      <c r="F6" s="73"/>
      <c r="G6" s="73"/>
      <c r="H6" s="43"/>
    </row>
    <row r="7" spans="2:20" x14ac:dyDescent="0.3">
      <c r="B7" s="73"/>
      <c r="C7" s="73"/>
      <c r="D7" s="73"/>
      <c r="E7" s="73"/>
      <c r="F7" s="73"/>
      <c r="G7" s="73"/>
      <c r="H7" s="43"/>
    </row>
    <row r="8" spans="2:20" x14ac:dyDescent="0.3">
      <c r="B8" s="73"/>
      <c r="C8" s="73"/>
      <c r="D8" s="73"/>
      <c r="E8" s="73"/>
      <c r="F8" s="73"/>
      <c r="G8" s="73"/>
      <c r="H8" s="43"/>
    </row>
    <row r="9" spans="2:20" x14ac:dyDescent="0.3">
      <c r="B9" s="73"/>
      <c r="C9" s="73"/>
      <c r="D9" s="73"/>
      <c r="E9" s="73"/>
      <c r="F9" s="73"/>
      <c r="G9" s="73"/>
      <c r="H9" s="43"/>
    </row>
    <row r="10" spans="2:20" x14ac:dyDescent="0.3">
      <c r="B10" s="73"/>
      <c r="C10" s="73"/>
      <c r="D10" s="73"/>
      <c r="E10" s="73"/>
      <c r="F10" s="73"/>
      <c r="G10" s="73"/>
      <c r="H10" s="43"/>
    </row>
    <row r="11" spans="2:20" x14ac:dyDescent="0.3">
      <c r="B11" s="73"/>
      <c r="C11" s="73"/>
      <c r="D11" s="73"/>
      <c r="E11" s="73"/>
      <c r="F11" s="73"/>
      <c r="G11" s="73"/>
      <c r="H11" s="43"/>
    </row>
    <row r="12" spans="2:20" x14ac:dyDescent="0.3">
      <c r="B12" s="73"/>
      <c r="C12" s="73"/>
      <c r="D12" s="73"/>
      <c r="E12" s="73"/>
      <c r="F12" s="73"/>
      <c r="G12" s="73"/>
      <c r="H12" s="43"/>
    </row>
    <row r="13" spans="2:20" x14ac:dyDescent="0.3">
      <c r="B13" s="73"/>
      <c r="C13" s="73"/>
      <c r="D13" s="73"/>
      <c r="E13" s="73"/>
      <c r="F13" s="73"/>
      <c r="G13" s="73"/>
      <c r="H13" s="43"/>
    </row>
    <row r="14" spans="2:20" x14ac:dyDescent="0.3">
      <c r="B14" s="73"/>
      <c r="C14" s="73"/>
      <c r="D14" s="73"/>
      <c r="E14" s="73"/>
      <c r="F14" s="73"/>
      <c r="G14" s="73"/>
      <c r="H14" s="43"/>
    </row>
    <row r="15" spans="2:20" x14ac:dyDescent="0.3">
      <c r="B15" s="73"/>
      <c r="C15" s="73"/>
      <c r="D15" s="73"/>
      <c r="E15" s="73"/>
      <c r="F15" s="73"/>
      <c r="G15" s="73"/>
      <c r="H15" s="43"/>
    </row>
    <row r="16" spans="2:20" x14ac:dyDescent="0.3">
      <c r="B16" s="73"/>
      <c r="C16" s="73"/>
      <c r="D16" s="73"/>
      <c r="E16" s="73"/>
      <c r="F16" s="73"/>
      <c r="G16" s="73"/>
      <c r="H16" s="43"/>
    </row>
    <row r="17" spans="2:20" x14ac:dyDescent="0.3">
      <c r="B17" s="73"/>
      <c r="C17" s="73"/>
      <c r="D17" s="73"/>
      <c r="E17" s="73"/>
      <c r="F17" s="73"/>
      <c r="G17" s="73"/>
      <c r="H17" s="43"/>
    </row>
    <row r="18" spans="2:20" x14ac:dyDescent="0.3">
      <c r="B18" s="73"/>
      <c r="C18" s="73"/>
      <c r="D18" s="73"/>
      <c r="E18" s="73"/>
      <c r="F18" s="73"/>
      <c r="G18" s="73"/>
      <c r="H18" s="43"/>
    </row>
    <row r="19" spans="2:20" x14ac:dyDescent="0.3">
      <c r="B19" s="73"/>
      <c r="C19" s="73"/>
      <c r="D19" s="73"/>
      <c r="E19" s="73"/>
      <c r="F19" s="73"/>
      <c r="G19" s="73"/>
      <c r="H19" s="43"/>
    </row>
    <row r="20" spans="2:20" x14ac:dyDescent="0.3">
      <c r="B20" s="73"/>
      <c r="C20" s="73"/>
      <c r="D20" s="73"/>
      <c r="E20" s="73"/>
      <c r="F20" s="73"/>
      <c r="G20" s="73"/>
      <c r="H20" s="43"/>
    </row>
    <row r="21" spans="2:20" x14ac:dyDescent="0.3">
      <c r="B21" s="73"/>
      <c r="C21" s="73"/>
      <c r="D21" s="73"/>
      <c r="E21" s="73"/>
      <c r="F21" s="73"/>
      <c r="G21" s="73"/>
      <c r="H21" s="43"/>
    </row>
    <row r="22" spans="2:20" x14ac:dyDescent="0.3">
      <c r="B22" s="73"/>
      <c r="C22" s="73"/>
      <c r="D22" s="73"/>
      <c r="E22" s="73"/>
      <c r="F22" s="73"/>
      <c r="G22" s="73"/>
      <c r="H22" s="43"/>
    </row>
    <row r="23" spans="2:20" x14ac:dyDescent="0.3">
      <c r="B23" s="73"/>
      <c r="C23" s="73"/>
      <c r="D23" s="73"/>
      <c r="E23" s="73"/>
      <c r="F23" s="73"/>
      <c r="G23" s="73"/>
      <c r="H23" s="43"/>
    </row>
    <row r="24" spans="2:20" x14ac:dyDescent="0.3">
      <c r="B24" s="73"/>
      <c r="C24" s="73"/>
      <c r="D24" s="73"/>
      <c r="E24" s="73"/>
      <c r="F24" s="73"/>
      <c r="G24" s="73"/>
      <c r="H24" s="43"/>
    </row>
    <row r="25" spans="2:20" x14ac:dyDescent="0.3">
      <c r="B25" s="73"/>
      <c r="C25" s="73"/>
      <c r="D25" s="73"/>
      <c r="E25" s="73"/>
      <c r="F25" s="73"/>
      <c r="G25" s="73"/>
      <c r="H25" s="43"/>
    </row>
    <row r="26" spans="2:20" x14ac:dyDescent="0.3">
      <c r="B26" s="73"/>
      <c r="C26" s="73"/>
      <c r="D26" s="73"/>
      <c r="E26" s="73"/>
      <c r="F26" s="73"/>
      <c r="G26" s="73"/>
      <c r="H26" s="43"/>
    </row>
    <row r="27" spans="2:20" x14ac:dyDescent="0.3">
      <c r="B27" s="73"/>
      <c r="C27" s="73"/>
      <c r="D27" s="73"/>
      <c r="E27" s="73"/>
      <c r="F27" s="73"/>
      <c r="G27" s="73"/>
      <c r="H27" s="43"/>
    </row>
    <row r="28" spans="2:20" x14ac:dyDescent="0.3">
      <c r="B28" s="73"/>
      <c r="C28" s="73"/>
      <c r="D28" s="73"/>
      <c r="E28" s="73"/>
      <c r="F28" s="73"/>
      <c r="G28" s="73"/>
      <c r="H28" s="43"/>
    </row>
    <row r="29" spans="2:20" x14ac:dyDescent="0.3">
      <c r="B29" s="73"/>
      <c r="C29" s="73"/>
      <c r="D29" s="73"/>
      <c r="E29" s="73"/>
      <c r="F29" s="73"/>
      <c r="G29" s="73"/>
      <c r="H29" s="43"/>
    </row>
    <row r="30" spans="2:20" x14ac:dyDescent="0.3">
      <c r="B30" s="73"/>
      <c r="C30" s="73"/>
      <c r="D30" s="73"/>
      <c r="E30" s="73"/>
      <c r="F30" s="73"/>
      <c r="G30" s="73"/>
      <c r="N30" s="43"/>
      <c r="O30" s="43"/>
      <c r="P30" s="43"/>
      <c r="Q30" s="43"/>
      <c r="R30" s="43"/>
      <c r="S30" s="43"/>
      <c r="T30" s="43"/>
    </row>
    <row r="31" spans="2:20" x14ac:dyDescent="0.3">
      <c r="B31" s="73"/>
      <c r="C31" s="73"/>
      <c r="D31" s="73"/>
      <c r="E31" s="73"/>
      <c r="F31" s="73"/>
      <c r="G31" s="73"/>
      <c r="N31" s="43"/>
      <c r="O31" s="43"/>
      <c r="P31" s="43"/>
      <c r="Q31" s="43"/>
      <c r="R31" s="43"/>
      <c r="S31" s="43"/>
      <c r="T31" s="43"/>
    </row>
    <row r="32" spans="2:20" x14ac:dyDescent="0.3">
      <c r="N32" s="43"/>
      <c r="O32" s="43"/>
      <c r="P32" s="43"/>
      <c r="Q32" s="43"/>
      <c r="R32" s="43"/>
      <c r="S32" s="43"/>
      <c r="T32" s="43"/>
    </row>
    <row r="33" spans="14:20" x14ac:dyDescent="0.3">
      <c r="N33" s="43"/>
      <c r="O33" s="43"/>
      <c r="P33" s="43"/>
      <c r="Q33" s="43"/>
      <c r="R33" s="43"/>
      <c r="S33" s="43"/>
      <c r="T33" s="43"/>
    </row>
    <row r="34" spans="14:20" x14ac:dyDescent="0.3">
      <c r="N34" s="43"/>
      <c r="O34" s="43"/>
      <c r="P34" s="43"/>
      <c r="Q34" s="43"/>
      <c r="R34" s="43"/>
      <c r="S34" s="43"/>
      <c r="T34" s="43"/>
    </row>
    <row r="35" spans="14:20" x14ac:dyDescent="0.3">
      <c r="N35" s="43"/>
      <c r="O35" s="43"/>
      <c r="P35" s="43"/>
      <c r="Q35" s="43"/>
      <c r="R35" s="43"/>
      <c r="S35" s="43"/>
      <c r="T35" s="43"/>
    </row>
    <row r="36" spans="14:20" x14ac:dyDescent="0.3">
      <c r="N36" s="43"/>
      <c r="O36" s="43"/>
      <c r="P36" s="43"/>
      <c r="Q36" s="43"/>
      <c r="R36" s="43"/>
      <c r="S36" s="43"/>
      <c r="T36" s="43"/>
    </row>
  </sheetData>
  <sheetProtection sheet="1" objects="1" scenarios="1"/>
  <mergeCells count="2">
    <mergeCell ref="B2:G4"/>
    <mergeCell ref="B5:G3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G71"/>
  <sheetViews>
    <sheetView zoomScale="55" zoomScaleNormal="55" workbookViewId="0">
      <selection activeCell="P7" sqref="P7:R8"/>
    </sheetView>
  </sheetViews>
  <sheetFormatPr defaultRowHeight="14.4" x14ac:dyDescent="0.3"/>
  <cols>
    <col min="4" max="4" width="12.44140625" customWidth="1"/>
    <col min="5" max="5" width="12.6640625" bestFit="1" customWidth="1"/>
    <col min="7" max="7" width="12.44140625" customWidth="1"/>
    <col min="8" max="8" width="12.6640625" bestFit="1" customWidth="1"/>
    <col min="10" max="10" width="12.44140625" customWidth="1"/>
    <col min="11" max="11" width="12.6640625" bestFit="1" customWidth="1"/>
    <col min="12" max="12" width="16" bestFit="1" customWidth="1"/>
    <col min="13" max="13" width="12.44140625" customWidth="1"/>
    <col min="14" max="14" width="12.6640625" bestFit="1" customWidth="1"/>
    <col min="15" max="15" width="16" bestFit="1" customWidth="1"/>
    <col min="17" max="17" width="12.33203125" bestFit="1" customWidth="1"/>
    <col min="18" max="18" width="16" bestFit="1" customWidth="1"/>
    <col min="19" max="19" width="12.6640625" bestFit="1" customWidth="1"/>
    <col min="20" max="20" width="12.44140625" bestFit="1" customWidth="1"/>
    <col min="21" max="21" width="16" bestFit="1" customWidth="1"/>
    <col min="22" max="22" width="12.6640625" bestFit="1" customWidth="1"/>
    <col min="24" max="24" width="12.44140625" customWidth="1"/>
    <col min="25" max="25" width="12.6640625" bestFit="1" customWidth="1"/>
    <col min="27" max="27" width="12.44140625" customWidth="1"/>
    <col min="28" max="28" width="12.6640625" bestFit="1" customWidth="1"/>
  </cols>
  <sheetData>
    <row r="1" spans="1:30" ht="14.4" customHeight="1" x14ac:dyDescent="0.3">
      <c r="A1" s="77" t="s">
        <v>323</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9"/>
    </row>
    <row r="2" spans="1:30" ht="14.4" customHeight="1" x14ac:dyDescent="0.3">
      <c r="A2" s="80"/>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2"/>
    </row>
    <row r="3" spans="1:30" ht="14.4" customHeight="1" x14ac:dyDescent="0.3">
      <c r="A3" s="80"/>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2"/>
    </row>
    <row r="4" spans="1:30" ht="14.4" customHeight="1" x14ac:dyDescent="0.3">
      <c r="A4" s="36"/>
      <c r="B4" s="13"/>
      <c r="C4" s="13"/>
      <c r="D4" s="13"/>
      <c r="E4" s="13"/>
      <c r="F4" s="13"/>
      <c r="G4" s="13"/>
      <c r="H4" s="13"/>
      <c r="I4" s="13"/>
      <c r="J4" s="13"/>
      <c r="K4" s="13"/>
      <c r="L4" s="13"/>
      <c r="M4" s="14"/>
      <c r="N4" s="14"/>
      <c r="O4" s="14"/>
      <c r="P4" s="14"/>
      <c r="Q4" s="14"/>
      <c r="R4" s="14"/>
      <c r="S4" s="14"/>
      <c r="T4" s="14"/>
      <c r="U4" s="14"/>
      <c r="V4" s="14"/>
      <c r="W4" s="14"/>
      <c r="X4" s="14"/>
      <c r="Y4" s="14"/>
      <c r="Z4" s="14"/>
      <c r="AA4" s="14"/>
      <c r="AB4" s="14"/>
      <c r="AC4" s="14"/>
      <c r="AD4" s="37"/>
    </row>
    <row r="5" spans="1:30" ht="14.4" customHeight="1" x14ac:dyDescent="0.3">
      <c r="A5" s="36"/>
      <c r="B5" s="13"/>
      <c r="C5" s="13"/>
      <c r="D5" s="13"/>
      <c r="E5" s="13"/>
      <c r="F5" s="13"/>
      <c r="G5" s="13"/>
      <c r="H5" s="13"/>
      <c r="I5" s="13"/>
      <c r="J5" s="13"/>
      <c r="K5" s="13"/>
      <c r="L5" s="13"/>
      <c r="M5" s="14"/>
      <c r="N5" s="14"/>
      <c r="O5" s="14"/>
      <c r="P5" s="14"/>
      <c r="Q5" s="14"/>
      <c r="R5" s="14"/>
      <c r="S5" s="14"/>
      <c r="T5" s="14"/>
      <c r="U5" s="14"/>
      <c r="V5" s="14"/>
      <c r="W5" s="14"/>
      <c r="X5" s="14"/>
      <c r="Y5" s="14"/>
      <c r="Z5" s="14"/>
      <c r="AA5" s="14"/>
      <c r="AB5" s="14"/>
      <c r="AC5" s="14"/>
      <c r="AD5" s="37"/>
    </row>
    <row r="6" spans="1:30" ht="14.4" customHeight="1" x14ac:dyDescent="0.3">
      <c r="A6" s="36"/>
      <c r="B6" s="13"/>
      <c r="C6" s="13"/>
      <c r="D6" s="13"/>
      <c r="E6" s="13"/>
      <c r="F6" s="13"/>
      <c r="G6" s="13"/>
      <c r="H6" s="13"/>
      <c r="I6" s="13"/>
      <c r="J6" s="13"/>
      <c r="K6" s="13"/>
      <c r="L6" s="13"/>
      <c r="M6" s="14"/>
      <c r="N6" s="14"/>
      <c r="O6" s="14"/>
      <c r="P6" s="14"/>
      <c r="Q6" s="14"/>
      <c r="R6" s="14"/>
      <c r="S6" s="14"/>
      <c r="T6" s="14"/>
      <c r="U6" s="14"/>
      <c r="V6" s="14"/>
      <c r="W6" s="14"/>
      <c r="X6" s="14"/>
      <c r="Y6" s="14"/>
      <c r="Z6" s="14"/>
      <c r="AA6" s="14"/>
      <c r="AB6" s="14"/>
      <c r="AC6" s="14"/>
      <c r="AD6" s="37"/>
    </row>
    <row r="7" spans="1:30" ht="15.6" customHeight="1" x14ac:dyDescent="0.3">
      <c r="A7" s="36"/>
      <c r="B7" s="13"/>
      <c r="C7" s="74" t="str">
        <f>IF(J31&lt;25,"This student is at risk",IF(M31&lt;25,"This student is at risk",IF(P31&lt;25,"This student is at risk",IF(S31&lt;25,"This student is at risk",IF(J43&lt;25,"This student is at risk",IF(M43&lt;25,"This student is at risk",IF(P43&lt;25,"This student is at risk",IF(S43&lt;25,"This student is at risk","No Risk"))))))))</f>
        <v>This student is at risk</v>
      </c>
      <c r="D7" s="74"/>
      <c r="E7" s="74"/>
      <c r="F7" s="74"/>
      <c r="G7" s="74"/>
      <c r="H7" s="74"/>
      <c r="I7" s="14"/>
      <c r="J7" s="13"/>
      <c r="K7" s="13"/>
      <c r="L7" s="13"/>
      <c r="M7" s="88" t="s">
        <v>1</v>
      </c>
      <c r="N7" s="88"/>
      <c r="O7" s="88"/>
      <c r="P7" s="89" t="s">
        <v>49</v>
      </c>
      <c r="Q7" s="89"/>
      <c r="R7" s="89"/>
      <c r="S7" s="14"/>
      <c r="T7" s="14"/>
      <c r="U7" s="14"/>
      <c r="V7" s="14"/>
      <c r="W7" s="14"/>
      <c r="X7" s="14"/>
      <c r="Y7" s="14"/>
      <c r="Z7" s="14"/>
      <c r="AA7" s="14"/>
      <c r="AB7" s="14"/>
      <c r="AC7" s="14"/>
      <c r="AD7" s="37"/>
    </row>
    <row r="8" spans="1:30" ht="15.6" customHeight="1" x14ac:dyDescent="0.3">
      <c r="A8" s="36"/>
      <c r="B8" s="13"/>
      <c r="C8" s="74"/>
      <c r="D8" s="74"/>
      <c r="E8" s="74"/>
      <c r="F8" s="74"/>
      <c r="G8" s="74"/>
      <c r="H8" s="74"/>
      <c r="I8" s="14"/>
      <c r="J8" s="13"/>
      <c r="K8" s="13"/>
      <c r="L8" s="13"/>
      <c r="M8" s="88"/>
      <c r="N8" s="88"/>
      <c r="O8" s="88"/>
      <c r="P8" s="89"/>
      <c r="Q8" s="89"/>
      <c r="R8" s="89"/>
      <c r="S8" s="14"/>
      <c r="T8" s="14"/>
      <c r="U8" s="14"/>
      <c r="V8" s="14"/>
      <c r="W8" s="14"/>
      <c r="X8" s="14"/>
      <c r="Y8" s="14"/>
      <c r="Z8" s="14"/>
      <c r="AA8" s="14"/>
      <c r="AB8" s="14"/>
      <c r="AC8" s="14"/>
      <c r="AD8" s="37"/>
    </row>
    <row r="9" spans="1:30" ht="14.4" customHeight="1" x14ac:dyDescent="0.3">
      <c r="A9" s="36"/>
      <c r="B9" s="13"/>
      <c r="C9" s="74"/>
      <c r="D9" s="74"/>
      <c r="E9" s="74"/>
      <c r="F9" s="74"/>
      <c r="G9" s="74"/>
      <c r="H9" s="74"/>
      <c r="I9" s="13"/>
      <c r="J9" s="13"/>
      <c r="K9" s="13"/>
      <c r="L9" s="13"/>
      <c r="M9" s="14"/>
      <c r="N9" s="14"/>
      <c r="O9" s="14"/>
      <c r="P9" s="14"/>
      <c r="Q9" s="14"/>
      <c r="R9" s="14"/>
      <c r="S9" s="14"/>
      <c r="T9" s="14"/>
      <c r="U9" s="14"/>
      <c r="V9" s="14"/>
      <c r="W9" s="14"/>
      <c r="X9" s="14"/>
      <c r="Y9" s="14"/>
      <c r="Z9" s="14"/>
      <c r="AA9" s="14"/>
      <c r="AB9" s="14"/>
      <c r="AC9" s="14"/>
      <c r="AD9" s="37"/>
    </row>
    <row r="10" spans="1:30" ht="14.4" customHeight="1" x14ac:dyDescent="0.3">
      <c r="A10" s="36"/>
      <c r="B10" s="13"/>
      <c r="C10" s="74"/>
      <c r="D10" s="74"/>
      <c r="E10" s="74"/>
      <c r="F10" s="74"/>
      <c r="G10" s="74"/>
      <c r="H10" s="74"/>
      <c r="I10" s="13"/>
      <c r="J10" s="13"/>
      <c r="K10" s="13"/>
      <c r="L10" s="13"/>
      <c r="M10" s="14"/>
      <c r="N10" s="87" t="s">
        <v>267</v>
      </c>
      <c r="O10" s="87"/>
      <c r="P10" s="87"/>
      <c r="Q10" s="87"/>
      <c r="R10" s="14"/>
      <c r="S10" s="14"/>
      <c r="T10" s="14"/>
      <c r="U10" s="14"/>
      <c r="V10" s="14"/>
      <c r="W10" s="14"/>
      <c r="X10" s="14"/>
      <c r="Y10" s="14"/>
      <c r="Z10" s="14"/>
      <c r="AA10" s="14"/>
      <c r="AB10" s="14"/>
      <c r="AC10" s="14"/>
      <c r="AD10" s="37"/>
    </row>
    <row r="11" spans="1:30" ht="14.4" customHeight="1" x14ac:dyDescent="0.3">
      <c r="A11" s="36"/>
      <c r="B11" s="13"/>
      <c r="C11" s="74"/>
      <c r="D11" s="74"/>
      <c r="E11" s="74"/>
      <c r="F11" s="74"/>
      <c r="G11" s="74"/>
      <c r="H11" s="74"/>
      <c r="I11" s="13"/>
      <c r="J11" s="13"/>
      <c r="K11" s="13"/>
      <c r="L11" s="13"/>
      <c r="M11" s="14"/>
      <c r="N11" s="87"/>
      <c r="O11" s="87"/>
      <c r="P11" s="87"/>
      <c r="Q11" s="87"/>
      <c r="R11" s="14"/>
      <c r="S11" s="14"/>
      <c r="T11" s="14"/>
      <c r="U11" s="14"/>
      <c r="V11" s="14"/>
      <c r="W11" s="14"/>
      <c r="X11" s="14"/>
      <c r="Y11" s="14"/>
      <c r="Z11" s="14"/>
      <c r="AA11" s="14"/>
      <c r="AB11" s="14"/>
      <c r="AC11" s="14"/>
      <c r="AD11" s="37"/>
    </row>
    <row r="12" spans="1:30" ht="14.4" customHeight="1" x14ac:dyDescent="0.3">
      <c r="A12" s="36"/>
      <c r="B12" s="13"/>
      <c r="C12" s="74"/>
      <c r="D12" s="74"/>
      <c r="E12" s="74"/>
      <c r="F12" s="74"/>
      <c r="G12" s="74"/>
      <c r="H12" s="74"/>
      <c r="I12" s="13"/>
      <c r="J12" s="13"/>
      <c r="K12" s="13"/>
      <c r="L12" s="13"/>
      <c r="M12" s="14"/>
      <c r="N12" s="14"/>
      <c r="O12" s="14"/>
      <c r="P12" s="14"/>
      <c r="Q12" s="14"/>
      <c r="R12" s="14"/>
      <c r="S12" s="14"/>
      <c r="T12" s="14"/>
      <c r="U12" s="14"/>
      <c r="V12" s="14"/>
      <c r="W12" s="14"/>
      <c r="X12" s="14"/>
      <c r="Y12" s="14"/>
      <c r="Z12" s="14"/>
      <c r="AA12" s="14"/>
      <c r="AB12" s="14"/>
      <c r="AC12" s="14"/>
      <c r="AD12" s="37"/>
    </row>
    <row r="13" spans="1:30" ht="14.4" customHeight="1" x14ac:dyDescent="0.3">
      <c r="A13" s="36"/>
      <c r="B13" s="13"/>
      <c r="C13" s="74"/>
      <c r="D13" s="74"/>
      <c r="E13" s="74"/>
      <c r="F13" s="74"/>
      <c r="G13" s="74"/>
      <c r="H13" s="74"/>
      <c r="I13" s="14"/>
      <c r="J13" s="13"/>
      <c r="K13" s="13"/>
      <c r="L13" s="13"/>
      <c r="M13" s="84" t="s">
        <v>2</v>
      </c>
      <c r="N13" s="84"/>
      <c r="O13" s="84"/>
      <c r="P13" s="83" t="str">
        <f>IFERROR(VLOOKUP(P7,'Cyber Security (Level 1)'!$A$6:$AD$35,2,FALSE),IFERROR(VLOOKUP(P7,'Cyber Security (Level 2)'!$A$6:$AD$35,2,FALSE),IFERROR(VLOOKUP(P7,'Cyber Security (Level 3)'!A6:$AD$35,2,FALSE),"NOT FOUND")))</f>
        <v>Meals</v>
      </c>
      <c r="Q13" s="83"/>
      <c r="R13" s="83"/>
      <c r="S13" s="14"/>
      <c r="T13" s="14"/>
      <c r="U13" s="14"/>
      <c r="V13" s="14"/>
      <c r="W13" s="14"/>
      <c r="X13" s="14"/>
      <c r="Y13" s="14"/>
      <c r="Z13" s="14"/>
      <c r="AA13" s="14"/>
      <c r="AB13" s="14"/>
      <c r="AC13" s="14"/>
      <c r="AD13" s="37"/>
    </row>
    <row r="14" spans="1:30" ht="14.4" customHeight="1" x14ac:dyDescent="0.3">
      <c r="A14" s="36"/>
      <c r="B14" s="13"/>
      <c r="C14" s="13"/>
      <c r="D14" s="14"/>
      <c r="E14" s="14"/>
      <c r="F14" s="14"/>
      <c r="G14" s="14"/>
      <c r="H14" s="14"/>
      <c r="I14" s="14"/>
      <c r="J14" s="13"/>
      <c r="K14" s="13"/>
      <c r="L14" s="13"/>
      <c r="M14" s="84"/>
      <c r="N14" s="84"/>
      <c r="O14" s="84"/>
      <c r="P14" s="83"/>
      <c r="Q14" s="83"/>
      <c r="R14" s="83"/>
      <c r="S14" s="14"/>
      <c r="T14" s="14"/>
      <c r="U14" s="14"/>
      <c r="V14" s="14"/>
      <c r="W14" s="14"/>
      <c r="X14" s="14"/>
      <c r="Y14" s="14"/>
      <c r="Z14" s="14"/>
      <c r="AA14" s="14"/>
      <c r="AB14" s="14"/>
      <c r="AC14" s="14"/>
      <c r="AD14" s="37"/>
    </row>
    <row r="15" spans="1:30" ht="14.4" customHeight="1" x14ac:dyDescent="0.3">
      <c r="A15" s="36"/>
      <c r="B15" s="13"/>
      <c r="C15" s="13"/>
      <c r="D15" s="14"/>
      <c r="E15" s="14"/>
      <c r="F15" s="14"/>
      <c r="G15" s="14"/>
      <c r="H15" s="14"/>
      <c r="I15" s="14"/>
      <c r="J15" s="13"/>
      <c r="K15" s="13"/>
      <c r="L15" s="13"/>
      <c r="M15" s="84" t="s">
        <v>4</v>
      </c>
      <c r="N15" s="84"/>
      <c r="O15" s="84"/>
      <c r="P15" s="83" t="str">
        <f>IFERROR(VLOOKUP(P7,'Cyber Security (Level 1)'!$A$6:$AD$35,3,FALSE),IFERROR(VLOOKUP(P7,'Cyber Security (Level 2)'!$A$6:$AD$35,3,FALSE),IFERROR(VLOOKUP(P7,'Cyber Security (Level 3)'!A6:$AD$35,3,FALSE),"NOT FOUND")))</f>
        <v>M</v>
      </c>
      <c r="Q15" s="83"/>
      <c r="R15" s="83"/>
      <c r="S15" s="14"/>
      <c r="T15" s="14"/>
      <c r="U15" s="14"/>
      <c r="V15" s="14"/>
      <c r="W15" s="14"/>
      <c r="X15" s="14"/>
      <c r="Y15" s="14"/>
      <c r="Z15" s="14"/>
      <c r="AA15" s="14"/>
      <c r="AB15" s="14"/>
      <c r="AC15" s="14"/>
      <c r="AD15" s="37"/>
    </row>
    <row r="16" spans="1:30" ht="14.4" customHeight="1" x14ac:dyDescent="0.3">
      <c r="A16" s="36"/>
      <c r="B16" s="13"/>
      <c r="C16" s="13"/>
      <c r="D16" s="14"/>
      <c r="E16" s="14"/>
      <c r="F16" s="14"/>
      <c r="G16" s="14"/>
      <c r="H16" s="14"/>
      <c r="I16" s="14"/>
      <c r="J16" s="13"/>
      <c r="K16" s="13"/>
      <c r="L16" s="13"/>
      <c r="M16" s="84"/>
      <c r="N16" s="84"/>
      <c r="O16" s="84"/>
      <c r="P16" s="83"/>
      <c r="Q16" s="83"/>
      <c r="R16" s="83"/>
      <c r="S16" s="14"/>
      <c r="T16" s="14"/>
      <c r="U16" s="14"/>
      <c r="V16" s="14"/>
      <c r="W16" s="14"/>
      <c r="X16" s="14"/>
      <c r="Y16" s="14"/>
      <c r="Z16" s="14"/>
      <c r="AA16" s="14"/>
      <c r="AB16" s="14"/>
      <c r="AC16" s="14"/>
      <c r="AD16" s="37"/>
    </row>
    <row r="17" spans="1:33" ht="14.4" customHeight="1" x14ac:dyDescent="0.3">
      <c r="A17" s="36"/>
      <c r="B17" s="13"/>
      <c r="C17" s="13"/>
      <c r="D17" s="14"/>
      <c r="E17" s="14"/>
      <c r="F17" s="14"/>
      <c r="G17" s="14"/>
      <c r="H17" s="14"/>
      <c r="I17" s="14"/>
      <c r="J17" s="13"/>
      <c r="K17" s="13"/>
      <c r="L17" s="13"/>
      <c r="M17" s="84" t="s">
        <v>210</v>
      </c>
      <c r="N17" s="84"/>
      <c r="O17" s="84"/>
      <c r="P17" s="85">
        <f>IFERROR(VLOOKUP(P7,'Cyber Security (Level 1)'!$A$6:$AD$35,4,FALSE),IFERROR(VLOOKUP(P7,'Cyber Security (Level 2)'!$A$6:$AD$35,4,FALSE),IFERROR(VLOOKUP(P7,'Cyber Security (Level 3)'!A6:$AD$35,4,FALSE),"NOT FOUND")))</f>
        <v>6385696329</v>
      </c>
      <c r="Q17" s="85"/>
      <c r="R17" s="85"/>
      <c r="S17" s="14"/>
      <c r="T17" s="14"/>
      <c r="U17" s="14"/>
      <c r="V17" s="14"/>
      <c r="W17" s="14"/>
      <c r="X17" s="14"/>
      <c r="Y17" s="14"/>
      <c r="Z17" s="14"/>
      <c r="AA17" s="14"/>
      <c r="AB17" s="14"/>
      <c r="AC17" s="14"/>
      <c r="AD17" s="37"/>
    </row>
    <row r="18" spans="1:33" ht="14.4" customHeight="1" x14ac:dyDescent="0.3">
      <c r="A18" s="36"/>
      <c r="B18" s="13"/>
      <c r="C18" s="13"/>
      <c r="D18" s="14"/>
      <c r="E18" s="14"/>
      <c r="F18" s="14"/>
      <c r="G18" s="14"/>
      <c r="H18" s="14"/>
      <c r="I18" s="14"/>
      <c r="J18" s="13"/>
      <c r="K18" s="13"/>
      <c r="L18" s="13"/>
      <c r="M18" s="84"/>
      <c r="N18" s="84"/>
      <c r="O18" s="84"/>
      <c r="P18" s="85"/>
      <c r="Q18" s="85"/>
      <c r="R18" s="85"/>
      <c r="S18" s="14"/>
      <c r="T18" s="14"/>
      <c r="U18" s="14"/>
      <c r="V18" s="14"/>
      <c r="W18" s="14"/>
      <c r="X18" s="14"/>
      <c r="Y18" s="14"/>
      <c r="Z18" s="14"/>
      <c r="AA18" s="14"/>
      <c r="AB18" s="14"/>
      <c r="AC18" s="14"/>
      <c r="AD18" s="37"/>
    </row>
    <row r="19" spans="1:33" ht="23.4" customHeight="1" x14ac:dyDescent="0.45">
      <c r="A19" s="36"/>
      <c r="B19" s="13"/>
      <c r="C19" s="13"/>
      <c r="D19" s="14"/>
      <c r="E19" s="14"/>
      <c r="F19" s="14"/>
      <c r="G19" s="14"/>
      <c r="H19" s="14"/>
      <c r="I19" s="14"/>
      <c r="J19" s="13"/>
      <c r="K19" s="13"/>
      <c r="L19" s="13"/>
      <c r="M19" s="84" t="s">
        <v>3</v>
      </c>
      <c r="N19" s="84"/>
      <c r="O19" s="84"/>
      <c r="P19" s="86" t="str">
        <f>IFERROR(VLOOKUP(P7,'Cyber Security (Level 1)'!$A$6:$AD$35,5,FALSE),IFERROR(VLOOKUP(P7,'Cyber Security (Level 2)'!$A$6:$AD$35,5,FALSE),IFERROR(VLOOKUP(P7,'Cyber Security (Level 3)'!$A$6:$AD$35,5,FALSE),"NOT FOUND")))</f>
        <v>19/03/2000</v>
      </c>
      <c r="Q19" s="86"/>
      <c r="R19" s="86"/>
      <c r="S19" s="14"/>
      <c r="T19" s="14"/>
      <c r="U19" s="14"/>
      <c r="V19" s="14"/>
      <c r="W19" s="14"/>
      <c r="X19" s="14"/>
      <c r="Y19" s="14"/>
      <c r="Z19" s="14"/>
      <c r="AA19" s="14"/>
      <c r="AB19" s="14"/>
      <c r="AC19" s="14"/>
      <c r="AD19" s="37"/>
      <c r="AG19" s="15"/>
    </row>
    <row r="20" spans="1:33" ht="14.4" customHeight="1" x14ac:dyDescent="0.3">
      <c r="A20" s="36"/>
      <c r="B20" s="13"/>
      <c r="C20" s="13"/>
      <c r="D20" s="14"/>
      <c r="E20" s="14"/>
      <c r="F20" s="14"/>
      <c r="G20" s="14"/>
      <c r="H20" s="14"/>
      <c r="I20" s="14"/>
      <c r="J20" s="13"/>
      <c r="K20" s="13"/>
      <c r="L20" s="13"/>
      <c r="M20" s="84"/>
      <c r="N20" s="84"/>
      <c r="O20" s="84"/>
      <c r="P20" s="86"/>
      <c r="Q20" s="86"/>
      <c r="R20" s="86"/>
      <c r="S20" s="14"/>
      <c r="T20" s="14"/>
      <c r="U20" s="14"/>
      <c r="V20" s="14"/>
      <c r="W20" s="14"/>
      <c r="X20" s="14"/>
      <c r="Y20" s="14"/>
      <c r="Z20" s="14"/>
      <c r="AA20" s="14"/>
      <c r="AB20" s="14"/>
      <c r="AC20" s="14"/>
      <c r="AD20" s="37"/>
    </row>
    <row r="21" spans="1:33" ht="14.4" customHeight="1" x14ac:dyDescent="0.3">
      <c r="A21" s="36"/>
      <c r="B21" s="13"/>
      <c r="C21" s="13"/>
      <c r="D21" s="13"/>
      <c r="E21" s="13"/>
      <c r="F21" s="13"/>
      <c r="G21" s="13"/>
      <c r="H21" s="13"/>
      <c r="I21" s="13"/>
      <c r="J21" s="13"/>
      <c r="K21" s="13"/>
      <c r="L21" s="13"/>
      <c r="M21" s="14"/>
      <c r="N21" s="14"/>
      <c r="O21" s="14"/>
      <c r="P21" s="14"/>
      <c r="Q21" s="14"/>
      <c r="R21" s="14"/>
      <c r="S21" s="14"/>
      <c r="T21" s="14"/>
      <c r="U21" s="14"/>
      <c r="V21" s="14"/>
      <c r="W21" s="14"/>
      <c r="X21" s="14"/>
      <c r="Y21" s="14"/>
      <c r="Z21" s="14"/>
      <c r="AA21" s="14"/>
      <c r="AB21" s="14"/>
      <c r="AC21" s="14"/>
      <c r="AD21" s="37"/>
    </row>
    <row r="22" spans="1:33" ht="14.4" customHeight="1" x14ac:dyDescent="0.3">
      <c r="A22" s="36"/>
      <c r="B22" s="13"/>
      <c r="C22" s="13"/>
      <c r="D22" s="13"/>
      <c r="E22" s="14"/>
      <c r="F22" s="14"/>
      <c r="G22" s="14"/>
      <c r="H22" s="14"/>
      <c r="I22" s="13"/>
      <c r="J22" s="13"/>
      <c r="K22" s="13"/>
      <c r="L22" s="13"/>
      <c r="M22" s="14"/>
      <c r="N22" s="87" t="s">
        <v>268</v>
      </c>
      <c r="O22" s="87"/>
      <c r="P22" s="87"/>
      <c r="Q22" s="87"/>
      <c r="R22" s="14"/>
      <c r="S22" s="14"/>
      <c r="T22" s="14"/>
      <c r="U22" s="14"/>
      <c r="V22" s="14"/>
      <c r="W22" s="14"/>
      <c r="X22" s="14"/>
      <c r="Y22" s="14"/>
      <c r="Z22" s="14"/>
      <c r="AA22" s="14"/>
      <c r="AB22" s="14"/>
      <c r="AC22" s="14"/>
      <c r="AD22" s="37"/>
    </row>
    <row r="23" spans="1:33" ht="14.4" customHeight="1" x14ac:dyDescent="0.3">
      <c r="A23" s="36"/>
      <c r="B23" s="13"/>
      <c r="C23" s="13"/>
      <c r="D23" s="13"/>
      <c r="E23" s="14"/>
      <c r="F23" s="14"/>
      <c r="G23" s="14"/>
      <c r="H23" s="14"/>
      <c r="I23" s="13"/>
      <c r="J23" s="13"/>
      <c r="K23" s="13"/>
      <c r="L23" s="13"/>
      <c r="M23" s="14"/>
      <c r="N23" s="87"/>
      <c r="O23" s="87"/>
      <c r="P23" s="87"/>
      <c r="Q23" s="87"/>
      <c r="R23" s="14"/>
      <c r="S23" s="14"/>
      <c r="T23" s="14"/>
      <c r="U23" s="14"/>
      <c r="V23" s="14"/>
      <c r="W23" s="14"/>
      <c r="X23" s="14"/>
      <c r="Y23" s="14"/>
      <c r="Z23" s="14"/>
      <c r="AA23" s="14"/>
      <c r="AB23" s="14"/>
      <c r="AC23" s="14"/>
      <c r="AD23" s="37"/>
    </row>
    <row r="24" spans="1:33" ht="14.4" customHeight="1" x14ac:dyDescent="0.3">
      <c r="A24" s="36"/>
      <c r="B24" s="13"/>
      <c r="C24" s="13"/>
      <c r="D24" s="13"/>
      <c r="E24" s="13"/>
      <c r="F24" s="13"/>
      <c r="G24" s="13"/>
      <c r="H24" s="13"/>
      <c r="I24" s="13"/>
      <c r="J24" s="13"/>
      <c r="K24" s="13"/>
      <c r="L24" s="13"/>
      <c r="M24" s="14"/>
      <c r="N24" s="14"/>
      <c r="O24" s="14"/>
      <c r="P24" s="14"/>
      <c r="Q24" s="14"/>
      <c r="R24" s="14"/>
      <c r="S24" s="14"/>
      <c r="T24" s="14"/>
      <c r="U24" s="14"/>
      <c r="V24" s="14"/>
      <c r="W24" s="14"/>
      <c r="X24" s="14"/>
      <c r="Y24" s="14"/>
      <c r="Z24" s="14"/>
      <c r="AA24" s="14"/>
      <c r="AB24" s="14"/>
      <c r="AC24" s="14"/>
      <c r="AD24" s="37"/>
    </row>
    <row r="25" spans="1:33" ht="14.4" customHeight="1" x14ac:dyDescent="0.3">
      <c r="A25" s="36"/>
      <c r="B25" s="13"/>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37"/>
    </row>
    <row r="26" spans="1:33" ht="14.4" customHeight="1" x14ac:dyDescent="0.3">
      <c r="A26" s="36"/>
      <c r="B26" s="13"/>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37"/>
    </row>
    <row r="27" spans="1:33" ht="21" customHeight="1" x14ac:dyDescent="0.3">
      <c r="A27" s="36"/>
      <c r="B27" s="13"/>
      <c r="C27" s="14"/>
      <c r="D27" s="14"/>
      <c r="E27" s="14"/>
      <c r="F27" s="14"/>
      <c r="G27" s="14"/>
      <c r="H27" s="14"/>
      <c r="I27" s="14"/>
      <c r="J27" s="75" t="s">
        <v>5</v>
      </c>
      <c r="K27" s="75"/>
      <c r="L27" s="75"/>
      <c r="M27" s="75"/>
      <c r="N27" s="75"/>
      <c r="O27" s="75"/>
      <c r="P27" s="75"/>
      <c r="Q27" s="75"/>
      <c r="R27" s="75"/>
      <c r="S27" s="75"/>
      <c r="T27" s="75"/>
      <c r="U27" s="75"/>
      <c r="V27" s="14"/>
      <c r="W27" s="14"/>
      <c r="X27" s="14"/>
      <c r="Y27" s="14"/>
      <c r="Z27" s="14"/>
      <c r="AA27" s="14"/>
      <c r="AB27" s="14"/>
      <c r="AC27" s="14"/>
      <c r="AD27" s="37"/>
    </row>
    <row r="28" spans="1:33" ht="18.600000000000001" customHeight="1" x14ac:dyDescent="0.3">
      <c r="A28" s="36"/>
      <c r="B28" s="13"/>
      <c r="C28" s="14"/>
      <c r="D28" s="14"/>
      <c r="E28" s="14"/>
      <c r="F28" s="14"/>
      <c r="G28" s="14"/>
      <c r="H28" s="14"/>
      <c r="I28" s="14"/>
      <c r="J28" s="75"/>
      <c r="K28" s="75"/>
      <c r="L28" s="75"/>
      <c r="M28" s="75"/>
      <c r="N28" s="75"/>
      <c r="O28" s="75"/>
      <c r="P28" s="75"/>
      <c r="Q28" s="75"/>
      <c r="R28" s="75"/>
      <c r="S28" s="75"/>
      <c r="T28" s="75"/>
      <c r="U28" s="75"/>
      <c r="V28" s="14"/>
      <c r="W28" s="14"/>
      <c r="X28" s="14"/>
      <c r="Y28" s="14"/>
      <c r="Z28" s="14"/>
      <c r="AA28" s="14"/>
      <c r="AB28" s="14"/>
      <c r="AC28" s="14"/>
      <c r="AD28" s="37"/>
    </row>
    <row r="29" spans="1:33" ht="14.4" customHeight="1" x14ac:dyDescent="0.3">
      <c r="A29" s="36"/>
      <c r="B29" s="13"/>
      <c r="C29" s="14"/>
      <c r="D29" s="14"/>
      <c r="E29" s="14"/>
      <c r="F29" s="14"/>
      <c r="G29" s="14"/>
      <c r="H29" s="14"/>
      <c r="I29" s="14"/>
      <c r="J29" s="76" t="s">
        <v>6</v>
      </c>
      <c r="K29" s="76"/>
      <c r="L29" s="76"/>
      <c r="M29" s="76" t="s">
        <v>10</v>
      </c>
      <c r="N29" s="76"/>
      <c r="O29" s="76"/>
      <c r="P29" s="76" t="s">
        <v>269</v>
      </c>
      <c r="Q29" s="76"/>
      <c r="R29" s="76"/>
      <c r="S29" s="76" t="s">
        <v>11</v>
      </c>
      <c r="T29" s="76"/>
      <c r="U29" s="76"/>
      <c r="V29" s="14"/>
      <c r="W29" s="14"/>
      <c r="X29" s="14"/>
      <c r="Y29" s="14"/>
      <c r="Z29" s="14"/>
      <c r="AA29" s="14"/>
      <c r="AB29" s="14"/>
      <c r="AC29" s="14"/>
      <c r="AD29" s="37"/>
    </row>
    <row r="30" spans="1:33" ht="14.4" customHeight="1" x14ac:dyDescent="0.3">
      <c r="A30" s="36"/>
      <c r="B30" s="13"/>
      <c r="C30" s="14"/>
      <c r="D30" s="14"/>
      <c r="E30" s="14"/>
      <c r="F30" s="14"/>
      <c r="G30" s="14"/>
      <c r="H30" s="14"/>
      <c r="I30" s="14"/>
      <c r="J30" s="45" t="s">
        <v>7</v>
      </c>
      <c r="K30" s="45" t="s">
        <v>8</v>
      </c>
      <c r="L30" s="45" t="s">
        <v>9</v>
      </c>
      <c r="M30" s="45" t="s">
        <v>7</v>
      </c>
      <c r="N30" s="45" t="s">
        <v>8</v>
      </c>
      <c r="O30" s="45" t="s">
        <v>9</v>
      </c>
      <c r="P30" s="45" t="s">
        <v>7</v>
      </c>
      <c r="Q30" s="45" t="s">
        <v>8</v>
      </c>
      <c r="R30" s="45" t="s">
        <v>9</v>
      </c>
      <c r="S30" s="45" t="s">
        <v>7</v>
      </c>
      <c r="T30" s="45" t="s">
        <v>8</v>
      </c>
      <c r="U30" s="45" t="s">
        <v>9</v>
      </c>
      <c r="V30" s="14"/>
      <c r="W30" s="14"/>
      <c r="X30" s="14"/>
      <c r="Y30" s="14"/>
      <c r="Z30" s="14"/>
      <c r="AA30" s="14"/>
      <c r="AB30" s="14"/>
      <c r="AC30" s="14"/>
      <c r="AD30" s="37"/>
    </row>
    <row r="31" spans="1:33" ht="14.4" customHeight="1" x14ac:dyDescent="0.3">
      <c r="A31" s="36"/>
      <c r="B31" s="13"/>
      <c r="C31" s="14"/>
      <c r="D31" s="14"/>
      <c r="E31" s="14"/>
      <c r="F31" s="14"/>
      <c r="G31" s="14"/>
      <c r="H31" s="14"/>
      <c r="I31" s="14"/>
      <c r="J31" s="91">
        <f>IFERROR(VLOOKUP(P7,'Cyber Security (Level 1)'!$A$6:$AD$35,6,FALSE),IFERROR(VLOOKUP(P7,'Cyber Security (Level 2)'!$A$6:$AD$35,6,FALSE),IFERROR(VLOOKUP(P7,'Cyber Security (Level 3)'!$A$6:$AD$35,6,FALSE),"NOT FOUND")))</f>
        <v>33</v>
      </c>
      <c r="K31" s="92" t="str">
        <f>IFERROR(VLOOKUP(P7,'Cyber Security (Level 1)'!$A$6:$AD$35,7,FALSE),IFERROR(VLOOKUP(P7,'Cyber Security (Level 2)'!$A$6:$AD$35,7,FALSE),IFERROR(VLOOKUP(P7,'Cyber Security (Level 3)'!A6:AD35,7,FALSE),"NOT FOUND")))</f>
        <v>Merit</v>
      </c>
      <c r="L31" s="90">
        <f>IFERROR(VLOOKUP(P7,'Cyber Security (Level 1)'!$A$6:$AD$35,8,FALSE),IFERROR(VLOOKUP(P7,'Cyber Security (Level 2)'!$A$6:$AD$35,8,FALSE),IFERROR(VLOOKUP(P7,'Cyber Security (Level 3)'!A6:AD35,8,FALSE),"NOT FOUND")))</f>
        <v>0.66</v>
      </c>
      <c r="M31" s="91">
        <f>IFERROR(VLOOKUP(P7,'Cyber Security (Level 1)'!$A$6:$AD$35,9,FALSE),IFERROR(VLOOKUP(P7,'Cyber Security (Level 2)'!$A$6:$AD$35,9,FALSE),IFERROR(VLOOKUP(P7,'Cyber Security (Level 3)'!$A$6:$AD$35,9,FALSE),"NOT FOUND")))</f>
        <v>28</v>
      </c>
      <c r="N31" s="92" t="str">
        <f>IFERROR(VLOOKUP(P7,'Cyber Security (Level 1)'!$A$6:$AD$35,10,FALSE),IFERROR(VLOOKUP(P7,'Cyber Security (Level 2)'!$A$6:$AD$35,10,FALSE),IFERROR(VLOOKUP(P7,'Cyber Security (Level 3)'!$A$6:$AD$35,10,FALSE),"NOT FOUND")))</f>
        <v>Pass</v>
      </c>
      <c r="O31" s="90">
        <f>IFERROR(VLOOKUP(P7,'Cyber Security (Level 1)'!$A$6:$AD$35,11,FALSE),IFERROR(VLOOKUP(P7,'Cyber Security (Level 2)'!$A$6:$AD$35,11,FALSE),IFERROR(VLOOKUP(P7,'Cyber Security (Level 3)'!$A$6:$AD$35,11,FALSE),"NOT FOUND")))</f>
        <v>0.56000000000000005</v>
      </c>
      <c r="P31" s="91">
        <f>IFERROR(VLOOKUP(P7,'Cyber Security (Level 1)'!$A$6:$AD$35,12,FALSE),IFERROR(VLOOKUP(P7,'Cyber Security (Level 2)'!$A$6:$AD$35,12,FALSE),IFERROR(VLOOKUP(P7,'Cyber Security (Level 3)'!$A$6:$AD$35,12,FALSE),"NOT FOUND")))</f>
        <v>24</v>
      </c>
      <c r="Q31" s="92" t="str">
        <f>IFERROR(VLOOKUP(P7,'Cyber Security (Level 1)'!$A$6:$AD$35,13,FALSE),IFERROR(VLOOKUP(P7,'Cyber Security (Level 2)'!$A$6:$AD$35,13,FALSE),IFERROR(VLOOKUP(P7,'Cyber Security (Level 3)'!$A$6:$AD$35,13,FALSE),"NOT FOUND")))</f>
        <v>Pass</v>
      </c>
      <c r="R31" s="90">
        <f>IFERROR(VLOOKUP(P7,'Cyber Security (Level 1)'!$A$6:$AD$35,14,FALSE),IFERROR(VLOOKUP(P7,'Cyber Security (Level 2)'!$A$6:$AD$35,14,FALSE),IFERROR(VLOOKUP(P7,'Cyber Security (Level 3)'!$A$6:$AD$35,14,FALSE),"NOT FOUND")))</f>
        <v>0.48</v>
      </c>
      <c r="S31" s="91">
        <f>IFERROR(VLOOKUP(P7,'Cyber Security (Level 1)'!$A$6:$AD$35,15,FALSE),IFERROR(VLOOKUP(P7,'Cyber Security (Level 2)'!$A$6:$AD$35,15,FALSE),IFERROR(VLOOKUP(P7,'Cyber Security (Level 3)'!$A$6:$AD$35,15,FALSE),"NOT FOUND")))</f>
        <v>47</v>
      </c>
      <c r="T31" s="92" t="str">
        <f>IFERROR(VLOOKUP(P7,'Cyber Security (Level 1)'!$A$6:$AD$35,16,FALSE),IFERROR(VLOOKUP(P7,'Cyber Security (Level 2)'!$A$6:$AD$35,16,FALSE),IFERROR(VLOOKUP(P7,'Cyber Security (Level 3)'!$A$6:$AD$35,16,FALSE),"NOT FOUND")))</f>
        <v>Distinction</v>
      </c>
      <c r="U31" s="90">
        <f>IFERROR(VLOOKUP(P7,'Cyber Security (Level 1)'!$A$6:$AD$35,17,FALSE),IFERROR(VLOOKUP(P7,'Cyber Security (Level 2)'!$A$6:$AD$35,17,FALSE),IFERROR(VLOOKUP(P7,'Cyber Security (Level 3)'!$A$6:$AD$35,17,FALSE),"NOT FOUND")))</f>
        <v>0.94</v>
      </c>
      <c r="V31" s="14"/>
      <c r="W31" s="14"/>
      <c r="X31" s="14"/>
      <c r="Y31" s="14"/>
      <c r="Z31" s="14"/>
      <c r="AA31" s="14"/>
      <c r="AB31" s="14"/>
      <c r="AC31" s="14"/>
      <c r="AD31" s="37"/>
    </row>
    <row r="32" spans="1:33" ht="14.4" customHeight="1" x14ac:dyDescent="0.3">
      <c r="A32" s="36"/>
      <c r="B32" s="13"/>
      <c r="C32" s="14"/>
      <c r="D32" s="14"/>
      <c r="E32" s="14"/>
      <c r="F32" s="14"/>
      <c r="G32" s="14"/>
      <c r="H32" s="14"/>
      <c r="I32" s="14"/>
      <c r="J32" s="91"/>
      <c r="K32" s="92"/>
      <c r="L32" s="90"/>
      <c r="M32" s="91"/>
      <c r="N32" s="92"/>
      <c r="O32" s="90"/>
      <c r="P32" s="91"/>
      <c r="Q32" s="92"/>
      <c r="R32" s="90"/>
      <c r="S32" s="91"/>
      <c r="T32" s="92"/>
      <c r="U32" s="90"/>
      <c r="V32" s="14"/>
      <c r="W32" s="14"/>
      <c r="X32" s="14"/>
      <c r="Y32" s="14"/>
      <c r="Z32" s="14"/>
      <c r="AA32" s="14"/>
      <c r="AB32" s="14"/>
      <c r="AC32" s="14"/>
      <c r="AD32" s="37"/>
    </row>
    <row r="33" spans="1:30" ht="14.4" customHeight="1" x14ac:dyDescent="0.3">
      <c r="A33" s="36"/>
      <c r="B33" s="13"/>
      <c r="C33" s="14"/>
      <c r="D33" s="14"/>
      <c r="E33" s="14"/>
      <c r="F33" s="14"/>
      <c r="G33" s="14"/>
      <c r="H33" s="14"/>
      <c r="I33" s="14"/>
      <c r="J33" s="13"/>
      <c r="K33" s="13"/>
      <c r="L33" s="13"/>
      <c r="M33" s="13"/>
      <c r="N33" s="13"/>
      <c r="O33" s="13"/>
      <c r="P33" s="13"/>
      <c r="Q33" s="13"/>
      <c r="R33" s="13"/>
      <c r="S33" s="13"/>
      <c r="T33" s="14"/>
      <c r="U33" s="14"/>
      <c r="V33" s="14"/>
      <c r="W33" s="14"/>
      <c r="X33" s="14"/>
      <c r="Y33" s="14"/>
      <c r="Z33" s="14"/>
      <c r="AA33" s="14"/>
      <c r="AB33" s="14"/>
      <c r="AC33" s="14"/>
      <c r="AD33" s="37"/>
    </row>
    <row r="34" spans="1:30" ht="14.4" customHeight="1" x14ac:dyDescent="0.3">
      <c r="A34" s="36"/>
      <c r="B34" s="13"/>
      <c r="C34" s="14"/>
      <c r="D34" s="14"/>
      <c r="E34" s="14"/>
      <c r="F34" s="14"/>
      <c r="G34" s="14"/>
      <c r="H34" s="14"/>
      <c r="I34" s="14"/>
      <c r="J34" s="13"/>
      <c r="K34" s="13"/>
      <c r="L34" s="13"/>
      <c r="M34" s="13"/>
      <c r="N34" s="93" t="s">
        <v>325</v>
      </c>
      <c r="O34" s="93"/>
      <c r="P34" s="85">
        <f>J31+M31+P31+S31</f>
        <v>132</v>
      </c>
      <c r="Q34" s="85"/>
      <c r="R34" s="13"/>
      <c r="S34" s="13"/>
      <c r="T34" s="14"/>
      <c r="U34" s="14"/>
      <c r="V34" s="14"/>
      <c r="W34" s="14"/>
      <c r="X34" s="14"/>
      <c r="Y34" s="14"/>
      <c r="Z34" s="14"/>
      <c r="AA34" s="14"/>
      <c r="AB34" s="14"/>
      <c r="AC34" s="14"/>
      <c r="AD34" s="37"/>
    </row>
    <row r="35" spans="1:30" ht="14.4" customHeight="1" x14ac:dyDescent="0.3">
      <c r="A35" s="36"/>
      <c r="B35" s="13"/>
      <c r="C35" s="13"/>
      <c r="D35" s="13"/>
      <c r="E35" s="13"/>
      <c r="F35" s="13"/>
      <c r="G35" s="13"/>
      <c r="H35" s="13"/>
      <c r="I35" s="13"/>
      <c r="J35" s="13"/>
      <c r="K35" s="13"/>
      <c r="L35" s="13"/>
      <c r="M35" s="13"/>
      <c r="N35" s="93"/>
      <c r="O35" s="93"/>
      <c r="P35" s="85"/>
      <c r="Q35" s="85"/>
      <c r="R35" s="13"/>
      <c r="S35" s="13"/>
      <c r="T35" s="14"/>
      <c r="U35" s="14"/>
      <c r="V35" s="14"/>
      <c r="W35" s="14"/>
      <c r="X35" s="14"/>
      <c r="Y35" s="14"/>
      <c r="Z35" s="14"/>
      <c r="AA35" s="14"/>
      <c r="AB35" s="14"/>
      <c r="AC35" s="14"/>
      <c r="AD35" s="37"/>
    </row>
    <row r="36" spans="1:30" ht="14.4" customHeight="1" x14ac:dyDescent="0.3">
      <c r="A36" s="36"/>
      <c r="B36" s="13"/>
      <c r="C36" s="13"/>
      <c r="D36" s="13"/>
      <c r="E36" s="13"/>
      <c r="F36" s="13"/>
      <c r="G36" s="13"/>
      <c r="H36" s="13"/>
      <c r="I36" s="13"/>
      <c r="J36" s="13"/>
      <c r="K36" s="13"/>
      <c r="L36" s="13"/>
      <c r="M36" s="13"/>
      <c r="N36" s="93"/>
      <c r="O36" s="93"/>
      <c r="P36" s="85"/>
      <c r="Q36" s="85"/>
      <c r="R36" s="13"/>
      <c r="S36" s="13"/>
      <c r="T36" s="14"/>
      <c r="U36" s="14"/>
      <c r="V36" s="14"/>
      <c r="W36" s="14"/>
      <c r="X36" s="14"/>
      <c r="Y36" s="14"/>
      <c r="Z36" s="14"/>
      <c r="AA36" s="14"/>
      <c r="AB36" s="14"/>
      <c r="AC36" s="14"/>
      <c r="AD36" s="37"/>
    </row>
    <row r="37" spans="1:30" ht="14.4" customHeight="1" x14ac:dyDescent="0.3">
      <c r="A37" s="36"/>
      <c r="B37" s="13"/>
      <c r="C37" s="13"/>
      <c r="D37" s="13"/>
      <c r="E37" s="13"/>
      <c r="F37" s="13"/>
      <c r="G37" s="13"/>
      <c r="H37" s="13"/>
      <c r="I37" s="13"/>
      <c r="J37" s="13"/>
      <c r="K37" s="13"/>
      <c r="L37" s="13"/>
      <c r="M37" s="14"/>
      <c r="N37" s="14"/>
      <c r="O37" s="14"/>
      <c r="P37" s="14"/>
      <c r="Q37" s="14"/>
      <c r="R37" s="14"/>
      <c r="S37" s="14"/>
      <c r="T37" s="14"/>
      <c r="U37" s="14"/>
      <c r="V37" s="14"/>
      <c r="W37" s="14"/>
      <c r="X37" s="14"/>
      <c r="Y37" s="14"/>
      <c r="Z37" s="14"/>
      <c r="AA37" s="14"/>
      <c r="AB37" s="14"/>
      <c r="AC37" s="14"/>
      <c r="AD37" s="37"/>
    </row>
    <row r="38" spans="1:30" ht="14.4" customHeight="1" x14ac:dyDescent="0.3">
      <c r="A38" s="36"/>
      <c r="B38" s="13"/>
      <c r="C38" s="13"/>
      <c r="D38" s="13"/>
      <c r="E38" s="13"/>
      <c r="F38" s="13"/>
      <c r="G38" s="13"/>
      <c r="H38" s="13"/>
      <c r="I38" s="13"/>
      <c r="J38" s="13"/>
      <c r="K38" s="13"/>
      <c r="L38" s="13"/>
      <c r="M38" s="14"/>
      <c r="N38" s="14"/>
      <c r="O38" s="14"/>
      <c r="P38" s="14"/>
      <c r="Q38" s="14"/>
      <c r="R38" s="14"/>
      <c r="S38" s="14"/>
      <c r="T38" s="14"/>
      <c r="U38" s="14"/>
      <c r="V38" s="14"/>
      <c r="W38" s="14"/>
      <c r="X38" s="14"/>
      <c r="Y38" s="14"/>
      <c r="Z38" s="14"/>
      <c r="AA38" s="14"/>
      <c r="AB38" s="14"/>
      <c r="AC38" s="14"/>
      <c r="AD38" s="37"/>
    </row>
    <row r="39" spans="1:30" ht="14.4" customHeight="1" x14ac:dyDescent="0.3">
      <c r="A39" s="36"/>
      <c r="B39" s="13"/>
      <c r="C39" s="13"/>
      <c r="D39" s="13"/>
      <c r="E39" s="13"/>
      <c r="F39" s="13"/>
      <c r="G39" s="13"/>
      <c r="H39" s="13"/>
      <c r="I39" s="13"/>
      <c r="J39" s="75" t="s">
        <v>12</v>
      </c>
      <c r="K39" s="75"/>
      <c r="L39" s="75"/>
      <c r="M39" s="75"/>
      <c r="N39" s="75"/>
      <c r="O39" s="75"/>
      <c r="P39" s="75"/>
      <c r="Q39" s="75"/>
      <c r="R39" s="75"/>
      <c r="S39" s="75"/>
      <c r="T39" s="75"/>
      <c r="U39" s="75"/>
      <c r="V39" s="14"/>
      <c r="W39" s="14"/>
      <c r="X39" s="14"/>
      <c r="Y39" s="14"/>
      <c r="Z39" s="14"/>
      <c r="AA39" s="14"/>
      <c r="AB39" s="14"/>
      <c r="AC39" s="14"/>
      <c r="AD39" s="37"/>
    </row>
    <row r="40" spans="1:30" ht="14.4" customHeight="1" x14ac:dyDescent="0.3">
      <c r="A40" s="36"/>
      <c r="B40" s="13"/>
      <c r="C40" s="13"/>
      <c r="D40" s="13"/>
      <c r="E40" s="13"/>
      <c r="F40" s="13"/>
      <c r="G40" s="13"/>
      <c r="H40" s="13"/>
      <c r="I40" s="13"/>
      <c r="J40" s="75"/>
      <c r="K40" s="75"/>
      <c r="L40" s="75"/>
      <c r="M40" s="75"/>
      <c r="N40" s="75"/>
      <c r="O40" s="75"/>
      <c r="P40" s="75"/>
      <c r="Q40" s="75"/>
      <c r="R40" s="75"/>
      <c r="S40" s="75"/>
      <c r="T40" s="75"/>
      <c r="U40" s="75"/>
      <c r="V40" s="14"/>
      <c r="W40" s="14"/>
      <c r="X40" s="14"/>
      <c r="Y40" s="14"/>
      <c r="Z40" s="14"/>
      <c r="AA40" s="14"/>
      <c r="AB40" s="14"/>
      <c r="AC40" s="14"/>
      <c r="AD40" s="37"/>
    </row>
    <row r="41" spans="1:30" ht="14.4" customHeight="1" x14ac:dyDescent="0.3">
      <c r="A41" s="36"/>
      <c r="B41" s="13"/>
      <c r="C41" s="13"/>
      <c r="D41" s="13"/>
      <c r="E41" s="13"/>
      <c r="F41" s="13"/>
      <c r="G41" s="13"/>
      <c r="H41" s="13"/>
      <c r="I41" s="13"/>
      <c r="J41" s="76" t="s">
        <v>6</v>
      </c>
      <c r="K41" s="76"/>
      <c r="L41" s="76"/>
      <c r="M41" s="76" t="s">
        <v>10</v>
      </c>
      <c r="N41" s="76"/>
      <c r="O41" s="76"/>
      <c r="P41" s="76" t="s">
        <v>269</v>
      </c>
      <c r="Q41" s="76"/>
      <c r="R41" s="76"/>
      <c r="S41" s="76" t="s">
        <v>11</v>
      </c>
      <c r="T41" s="76"/>
      <c r="U41" s="76"/>
      <c r="V41" s="14"/>
      <c r="W41" s="14"/>
      <c r="X41" s="14"/>
      <c r="Y41" s="14"/>
      <c r="Z41" s="14"/>
      <c r="AA41" s="14"/>
      <c r="AB41" s="14"/>
      <c r="AC41" s="14"/>
      <c r="AD41" s="37"/>
    </row>
    <row r="42" spans="1:30" ht="14.4" customHeight="1" x14ac:dyDescent="0.3">
      <c r="A42" s="36"/>
      <c r="B42" s="13"/>
      <c r="C42" s="13"/>
      <c r="D42" s="13"/>
      <c r="E42" s="13"/>
      <c r="F42" s="13"/>
      <c r="G42" s="13"/>
      <c r="H42" s="13"/>
      <c r="I42" s="13"/>
      <c r="J42" s="45" t="s">
        <v>7</v>
      </c>
      <c r="K42" s="45" t="s">
        <v>8</v>
      </c>
      <c r="L42" s="45" t="s">
        <v>9</v>
      </c>
      <c r="M42" s="45" t="s">
        <v>7</v>
      </c>
      <c r="N42" s="45" t="s">
        <v>8</v>
      </c>
      <c r="O42" s="45" t="s">
        <v>9</v>
      </c>
      <c r="P42" s="45" t="s">
        <v>7</v>
      </c>
      <c r="Q42" s="45" t="s">
        <v>8</v>
      </c>
      <c r="R42" s="45" t="s">
        <v>9</v>
      </c>
      <c r="S42" s="45" t="s">
        <v>7</v>
      </c>
      <c r="T42" s="45" t="s">
        <v>8</v>
      </c>
      <c r="U42" s="45" t="s">
        <v>9</v>
      </c>
      <c r="V42" s="14"/>
      <c r="W42" s="14"/>
      <c r="X42" s="14"/>
      <c r="Y42" s="14"/>
      <c r="Z42" s="14"/>
      <c r="AA42" s="14"/>
      <c r="AB42" s="14"/>
      <c r="AC42" s="14"/>
      <c r="AD42" s="37"/>
    </row>
    <row r="43" spans="1:30" ht="14.4" customHeight="1" x14ac:dyDescent="0.3">
      <c r="A43" s="38"/>
      <c r="B43" s="14"/>
      <c r="C43" s="14"/>
      <c r="D43" s="14"/>
      <c r="E43" s="13"/>
      <c r="F43" s="13"/>
      <c r="G43" s="13"/>
      <c r="H43" s="13"/>
      <c r="I43" s="13"/>
      <c r="J43" s="91">
        <f>IFERROR(VLOOKUP(P7,'Cyber Security (Level 1)'!$A$6:$AD$35,19,FALSE),IFERROR(VLOOKUP(P7,'Cyber Security (Level 2)'!$A$6:$AD$35,19,FALSE),IFERROR(VLOOKUP(P7,'Cyber Security (Level 3)'!$A$6:$AD$35,19,FALSE),"NOT FOUND")))</f>
        <v>45</v>
      </c>
      <c r="K43" s="92" t="str">
        <f>IFERROR(VLOOKUP(P7,'Cyber Security (Level 1)'!$A$6:$AD$35,20,FALSE),IFERROR(VLOOKUP(P7,'Cyber Security (Level 2)'!$A$6:$AD$35,20,FALSE),IFERROR(VLOOKUP(P7,'Cyber Security (Level 3)'!$A$6:$AD$35,20,FALSE),"NOT FOUND")))</f>
        <v>Distinction</v>
      </c>
      <c r="L43" s="90">
        <f>IFERROR(VLOOKUP(P7,'Cyber Security (Level 1)'!$A$6:$AD$35,21,FALSE),IFERROR(VLOOKUP(P7,'Cyber Security (Level 2)'!$A$6:$AD$35,21,FALSE),IFERROR(VLOOKUP(P7,'Cyber Security (Level 3)'!$A$6:$AD$35,21,FALSE),"NOT FOUND")))</f>
        <v>0.9</v>
      </c>
      <c r="M43" s="91">
        <f>IFERROR(VLOOKUP(P7,'Cyber Security (Level 1)'!$A$6:$AD$35,22,FALSE),IFERROR(VLOOKUP(P7,'Cyber Security (Level 2)'!$A$6:$AD$35,22,FALSE),IFERROR(VLOOKUP(P7,'Cyber Security (Level 3)'!$A$6:$AD$35,22,FALSE),"NOT FOUND")))</f>
        <v>18</v>
      </c>
      <c r="N43" s="92" t="str">
        <f>IFERROR(VLOOKUP(P7,'Cyber Security (Level 1)'!$A$6:$AD$35,23,FALSE),IFERROR(VLOOKUP(P7,'Cyber Security (Level 2)'!$A$6:$AD$35,23,FALSE),IFERROR(VLOOKUP(P7,'Cyber Security (Level 3)'!$A$6:$AD$35,23,FALSE),"NOT FOUND")))</f>
        <v>Pass</v>
      </c>
      <c r="O43" s="90">
        <f>IFERROR(VLOOKUP(P7,'Cyber Security (Level 1)'!$A$6:$AD$35,24,FALSE),IFERROR(VLOOKUP(P7,'Cyber Security (Level 2)'!$A$6:$AD$35,24,FALSE),IFERROR(VLOOKUP(P7,'Cyber Security (Level 3)'!$A$6:$AD$35,24,FALSE),"NOT FOUND")))</f>
        <v>0.36</v>
      </c>
      <c r="P43" s="91">
        <f>IFERROR(VLOOKUP(P7,'Cyber Security (Level 1)'!$A$6:$AD$35,25,FALSE),IFERROR(VLOOKUP(P7,'Cyber Security (Level 2)'!$A$6:$AD$35,25,FALSE),IFERROR(VLOOKUP(P7,'Cyber Security (Level 3)'!$A$6:$AD$35,25,FALSE),"NOT FOUND")))</f>
        <v>37</v>
      </c>
      <c r="Q43" s="92" t="str">
        <f>IFERROR(VLOOKUP(P7,'Cyber Security (Level 1)'!$A$6:$AD$35,26,FALSE),IFERROR(VLOOKUP(P7,'Cyber Security (Level 2)'!$A$6:$AD$35,26,FALSE),IFERROR(VLOOKUP(P7,'Cyber Security (Level 3)'!$A$6:$AD$35,26,FALSE),"NOT FOUND")))</f>
        <v>Merit</v>
      </c>
      <c r="R43" s="90">
        <f>IFERROR(VLOOKUP(P7,'Cyber Security (Level 1)'!$A$6:$AD$35,27,FALSE),IFERROR(VLOOKUP(P7,'Cyber Security (Level 2)'!$A$6:$AD$35,27,FALSE),IFERROR(VLOOKUP(P7,'Cyber Security (Level 3)'!$A$6:$AD$35,27,FALSE),"NOT FOUND")))</f>
        <v>0.74</v>
      </c>
      <c r="S43" s="91">
        <f>IFERROR(VLOOKUP(P7,'Cyber Security (Level 1)'!$A$6:$AD$35,28,FALSE),IFERROR(VLOOKUP(P7,'Cyber Security (Level 2)'!$A$6:$AD$35,28,FALSE),IFERROR(VLOOKUP(P7,'Cyber Security (Level 3)'!$A$6:$AD$35,28,FALSE),"NOT FOUND")))</f>
        <v>19</v>
      </c>
      <c r="T43" s="92" t="str">
        <f>IFERROR(VLOOKUP(P7,'Cyber Security (Level 1)'!$A$6:$AD$35,29,FALSE),IFERROR(VLOOKUP(P7,'Cyber Security (Level 2)'!$A$6:$AD$35,29,FALSE),IFERROR(VLOOKUP(P7,'Cyber Security (Level 3)'!$A$6:$AD$35,29,FALSE),"NOT FOUND")))</f>
        <v>Pass</v>
      </c>
      <c r="U43" s="90">
        <f>IFERROR(VLOOKUP(P7,'Cyber Security (Level 1)'!$A$6:$AD$35,30,FALSE),IFERROR(VLOOKUP(P7,'Cyber Security (Level 2)'!$A$6:$AD$35,30,FALSE),IFERROR(VLOOKUP(P7,'Cyber Security (Level 3)'!$A$6:$AD$35,30,FALSE),"NOT FOUND")))</f>
        <v>0.38</v>
      </c>
      <c r="V43" s="14"/>
      <c r="W43" s="14"/>
      <c r="X43" s="14"/>
      <c r="Y43" s="14"/>
      <c r="Z43" s="14"/>
      <c r="AA43" s="14"/>
      <c r="AB43" s="14"/>
      <c r="AC43" s="14"/>
      <c r="AD43" s="37"/>
    </row>
    <row r="44" spans="1:30" ht="14.4" customHeight="1" x14ac:dyDescent="0.3">
      <c r="A44" s="38"/>
      <c r="B44" s="14"/>
      <c r="C44" s="14"/>
      <c r="D44" s="14"/>
      <c r="E44" s="13"/>
      <c r="F44" s="13"/>
      <c r="G44" s="13"/>
      <c r="H44" s="13"/>
      <c r="I44" s="13"/>
      <c r="J44" s="91"/>
      <c r="K44" s="92"/>
      <c r="L44" s="90"/>
      <c r="M44" s="91"/>
      <c r="N44" s="92"/>
      <c r="O44" s="90"/>
      <c r="P44" s="91"/>
      <c r="Q44" s="92"/>
      <c r="R44" s="90"/>
      <c r="S44" s="91"/>
      <c r="T44" s="92"/>
      <c r="U44" s="90"/>
      <c r="V44" s="14"/>
      <c r="W44" s="14"/>
      <c r="X44" s="14"/>
      <c r="Y44" s="14"/>
      <c r="Z44" s="14"/>
      <c r="AA44" s="14"/>
      <c r="AB44" s="14"/>
      <c r="AC44" s="14"/>
      <c r="AD44" s="37"/>
    </row>
    <row r="45" spans="1:30" ht="14.4" customHeight="1" x14ac:dyDescent="0.3">
      <c r="A45" s="38"/>
      <c r="B45" s="14"/>
      <c r="C45" s="14"/>
      <c r="D45" s="14"/>
      <c r="E45" s="13"/>
      <c r="F45" s="13"/>
      <c r="G45" s="13"/>
      <c r="H45" s="13"/>
      <c r="I45" s="13"/>
      <c r="J45" s="14"/>
      <c r="K45" s="14"/>
      <c r="L45" s="14"/>
      <c r="M45" s="14"/>
      <c r="N45" s="14"/>
      <c r="O45" s="14"/>
      <c r="P45" s="14"/>
      <c r="Q45" s="14"/>
      <c r="R45" s="14"/>
      <c r="S45" s="14"/>
      <c r="T45" s="14"/>
      <c r="U45" s="14"/>
      <c r="V45" s="14"/>
      <c r="W45" s="14"/>
      <c r="X45" s="14"/>
      <c r="Y45" s="14"/>
      <c r="Z45" s="14"/>
      <c r="AA45" s="14"/>
      <c r="AB45" s="14"/>
      <c r="AC45" s="14"/>
      <c r="AD45" s="37"/>
    </row>
    <row r="46" spans="1:30" ht="15" customHeight="1" x14ac:dyDescent="0.3">
      <c r="A46" s="38"/>
      <c r="B46" s="14"/>
      <c r="C46" s="14"/>
      <c r="D46" s="14"/>
      <c r="E46" s="13"/>
      <c r="F46" s="13"/>
      <c r="G46" s="13"/>
      <c r="H46" s="13"/>
      <c r="I46" s="14"/>
      <c r="J46" s="14"/>
      <c r="K46" s="14"/>
      <c r="L46" s="14"/>
      <c r="M46" s="14"/>
      <c r="N46" s="93" t="s">
        <v>325</v>
      </c>
      <c r="O46" s="93"/>
      <c r="P46" s="85">
        <f>J43+M43+P43+S43</f>
        <v>119</v>
      </c>
      <c r="Q46" s="85"/>
      <c r="R46" s="14"/>
      <c r="S46" s="14"/>
      <c r="T46" s="14"/>
      <c r="U46" s="14"/>
      <c r="V46" s="14"/>
      <c r="W46" s="14"/>
      <c r="X46" s="14"/>
      <c r="Y46" s="14"/>
      <c r="Z46" s="14"/>
      <c r="AA46" s="14"/>
      <c r="AB46" s="14"/>
      <c r="AC46" s="14"/>
      <c r="AD46" s="37"/>
    </row>
    <row r="47" spans="1:30" ht="15" customHeight="1" x14ac:dyDescent="0.3">
      <c r="A47" s="36"/>
      <c r="B47" s="13"/>
      <c r="C47" s="13"/>
      <c r="D47" s="13"/>
      <c r="E47" s="13"/>
      <c r="F47" s="13"/>
      <c r="G47" s="13"/>
      <c r="H47" s="13"/>
      <c r="I47" s="14"/>
      <c r="J47" s="14"/>
      <c r="K47" s="14"/>
      <c r="L47" s="14"/>
      <c r="M47" s="14"/>
      <c r="N47" s="93"/>
      <c r="O47" s="93"/>
      <c r="P47" s="85"/>
      <c r="Q47" s="85"/>
      <c r="R47" s="14"/>
      <c r="S47" s="14"/>
      <c r="T47" s="14"/>
      <c r="U47" s="14"/>
      <c r="V47" s="14"/>
      <c r="W47" s="14"/>
      <c r="X47" s="14"/>
      <c r="Y47" s="14"/>
      <c r="Z47" s="14"/>
      <c r="AA47" s="14"/>
      <c r="AB47" s="14"/>
      <c r="AC47" s="14"/>
      <c r="AD47" s="37"/>
    </row>
    <row r="48" spans="1:30" x14ac:dyDescent="0.3">
      <c r="A48" s="36"/>
      <c r="B48" s="13"/>
      <c r="C48" s="13"/>
      <c r="D48" s="13"/>
      <c r="E48" s="13"/>
      <c r="F48" s="13"/>
      <c r="G48" s="13"/>
      <c r="H48" s="13"/>
      <c r="I48" s="14"/>
      <c r="J48" s="14"/>
      <c r="K48" s="14"/>
      <c r="L48" s="14"/>
      <c r="M48" s="14"/>
      <c r="N48" s="93"/>
      <c r="O48" s="93"/>
      <c r="P48" s="85"/>
      <c r="Q48" s="85"/>
      <c r="R48" s="14"/>
      <c r="S48" s="14"/>
      <c r="T48" s="14"/>
      <c r="U48" s="14"/>
      <c r="V48" s="14"/>
      <c r="W48" s="14"/>
      <c r="X48" s="14"/>
      <c r="Y48" s="14"/>
      <c r="Z48" s="14"/>
      <c r="AA48" s="14"/>
      <c r="AB48" s="14"/>
      <c r="AC48" s="14"/>
      <c r="AD48" s="37"/>
    </row>
    <row r="49" spans="1:30" x14ac:dyDescent="0.3">
      <c r="A49" s="36"/>
      <c r="B49" s="13"/>
      <c r="C49" s="13"/>
      <c r="D49" s="13"/>
      <c r="E49" s="13"/>
      <c r="F49" s="13"/>
      <c r="G49" s="13"/>
      <c r="H49" s="13"/>
      <c r="I49" s="14"/>
      <c r="J49" s="14"/>
      <c r="K49" s="14"/>
      <c r="L49" s="14"/>
      <c r="M49" s="14"/>
      <c r="N49" s="14"/>
      <c r="O49" s="14"/>
      <c r="P49" s="14"/>
      <c r="Q49" s="14"/>
      <c r="R49" s="14"/>
      <c r="S49" s="14"/>
      <c r="T49" s="14"/>
      <c r="U49" s="14"/>
      <c r="V49" s="14"/>
      <c r="W49" s="14"/>
      <c r="X49" s="14"/>
      <c r="Y49" s="14"/>
      <c r="Z49" s="14"/>
      <c r="AA49" s="14"/>
      <c r="AB49" s="14"/>
      <c r="AC49" s="14"/>
      <c r="AD49" s="37"/>
    </row>
    <row r="50" spans="1:30" x14ac:dyDescent="0.3">
      <c r="A50" s="36"/>
      <c r="B50" s="13"/>
      <c r="C50" s="13"/>
      <c r="D50" s="13"/>
      <c r="E50" s="13"/>
      <c r="F50" s="13"/>
      <c r="G50" s="13"/>
      <c r="H50" s="13"/>
      <c r="I50" s="14"/>
      <c r="J50" s="14"/>
      <c r="K50" s="14"/>
      <c r="L50" s="14"/>
      <c r="M50" s="14"/>
      <c r="N50" s="14"/>
      <c r="O50" s="14"/>
      <c r="P50" s="14"/>
      <c r="Q50" s="14"/>
      <c r="R50" s="14"/>
      <c r="S50" s="14"/>
      <c r="T50" s="14"/>
      <c r="U50" s="14"/>
      <c r="V50" s="14"/>
      <c r="W50" s="14"/>
      <c r="X50" s="14"/>
      <c r="Y50" s="14"/>
      <c r="Z50" s="14"/>
      <c r="AA50" s="14"/>
      <c r="AB50" s="14"/>
      <c r="AC50" s="14"/>
      <c r="AD50" s="37"/>
    </row>
    <row r="51" spans="1:30" x14ac:dyDescent="0.3">
      <c r="A51" s="38"/>
      <c r="B51" s="13"/>
      <c r="C51" s="13"/>
      <c r="D51" s="13"/>
      <c r="E51" s="13"/>
      <c r="F51" s="14"/>
      <c r="G51" s="14"/>
      <c r="H51" s="14"/>
      <c r="I51" s="14"/>
      <c r="J51" s="14"/>
      <c r="K51" s="14"/>
      <c r="L51" s="14"/>
      <c r="M51" s="14"/>
      <c r="N51" s="14"/>
      <c r="O51" s="14"/>
      <c r="P51" s="14"/>
      <c r="Q51" s="14"/>
      <c r="R51" s="14"/>
      <c r="S51" s="14"/>
      <c r="T51" s="14"/>
      <c r="U51" s="14"/>
      <c r="V51" s="14"/>
      <c r="W51" s="14"/>
      <c r="X51" s="14"/>
      <c r="Y51" s="14"/>
      <c r="Z51" s="14"/>
      <c r="AA51" s="14"/>
      <c r="AB51" s="14"/>
      <c r="AC51" s="14"/>
      <c r="AD51" s="37"/>
    </row>
    <row r="52" spans="1:30" x14ac:dyDescent="0.3">
      <c r="A52" s="38"/>
      <c r="B52" s="14"/>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37"/>
    </row>
    <row r="53" spans="1:30" x14ac:dyDescent="0.3">
      <c r="A53" s="38"/>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37"/>
    </row>
    <row r="54" spans="1:30" ht="15" thickBot="1" x14ac:dyDescent="0.35">
      <c r="A54" s="39"/>
      <c r="B54" s="40"/>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1"/>
    </row>
    <row r="55" spans="1:30" x14ac:dyDescent="0.3">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row>
    <row r="56" spans="1:30" x14ac:dyDescent="0.3">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row>
    <row r="57" spans="1:30" x14ac:dyDescent="0.3">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row>
    <row r="58" spans="1:30" x14ac:dyDescent="0.3">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row>
    <row r="59" spans="1:30" x14ac:dyDescent="0.3">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row>
    <row r="60" spans="1:30" x14ac:dyDescent="0.3">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row>
    <row r="61" spans="1:30" x14ac:dyDescent="0.3">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row>
    <row r="62" spans="1:30" x14ac:dyDescent="0.3">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row>
    <row r="63" spans="1:30" x14ac:dyDescent="0.3">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row>
    <row r="64" spans="1:30" x14ac:dyDescent="0.3">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row>
    <row r="65" spans="1:30" x14ac:dyDescent="0.3">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row>
    <row r="66" spans="1:30" x14ac:dyDescent="0.3">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row>
    <row r="67" spans="1:30" x14ac:dyDescent="0.3">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row>
    <row r="68" spans="1:30" x14ac:dyDescent="0.3">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row>
    <row r="69" spans="1:30" x14ac:dyDescent="0.3">
      <c r="H69" s="5"/>
      <c r="I69" s="5"/>
      <c r="J69" s="5"/>
      <c r="K69" s="5"/>
      <c r="L69" s="5"/>
      <c r="M69" s="5"/>
      <c r="N69" s="5"/>
      <c r="O69" s="5"/>
      <c r="P69" s="5"/>
      <c r="Q69" s="5"/>
      <c r="R69" s="5"/>
      <c r="S69" s="5"/>
      <c r="T69" s="5"/>
      <c r="U69" s="5"/>
      <c r="V69" s="5"/>
      <c r="W69" s="5"/>
    </row>
    <row r="70" spans="1:30" x14ac:dyDescent="0.3">
      <c r="H70" s="5"/>
      <c r="I70" s="5"/>
      <c r="J70" s="5"/>
      <c r="K70" s="5"/>
      <c r="L70" s="5"/>
      <c r="M70" s="5"/>
      <c r="N70" s="5"/>
      <c r="O70" s="5"/>
      <c r="P70" s="5"/>
      <c r="Q70" s="5"/>
      <c r="R70" s="5"/>
      <c r="S70" s="5"/>
      <c r="T70" s="5"/>
      <c r="U70" s="5"/>
      <c r="V70" s="5"/>
      <c r="W70" s="5"/>
    </row>
    <row r="71" spans="1:30" x14ac:dyDescent="0.3">
      <c r="H71" s="5"/>
      <c r="I71" s="5"/>
      <c r="J71" s="5"/>
      <c r="K71" s="5"/>
      <c r="L71" s="5"/>
      <c r="M71" s="5"/>
      <c r="N71" s="5"/>
      <c r="O71" s="5"/>
      <c r="P71" s="5"/>
      <c r="Q71" s="5"/>
      <c r="R71" s="5"/>
      <c r="S71" s="5"/>
      <c r="T71" s="5"/>
      <c r="U71" s="5"/>
      <c r="V71" s="5"/>
      <c r="W71" s="5"/>
    </row>
  </sheetData>
  <sheetProtection sheet="1" objects="1" scenarios="1"/>
  <mergeCells count="52">
    <mergeCell ref="M41:O41"/>
    <mergeCell ref="S43:S44"/>
    <mergeCell ref="T43:T44"/>
    <mergeCell ref="U43:U44"/>
    <mergeCell ref="K43:K44"/>
    <mergeCell ref="L43:L44"/>
    <mergeCell ref="M43:M44"/>
    <mergeCell ref="Q43:Q44"/>
    <mergeCell ref="R43:R44"/>
    <mergeCell ref="P41:R41"/>
    <mergeCell ref="S41:U41"/>
    <mergeCell ref="J43:J44"/>
    <mergeCell ref="N46:O48"/>
    <mergeCell ref="P46:Q48"/>
    <mergeCell ref="N43:N44"/>
    <mergeCell ref="O43:O44"/>
    <mergeCell ref="P43:P44"/>
    <mergeCell ref="N34:O36"/>
    <mergeCell ref="P34:Q36"/>
    <mergeCell ref="Q31:Q32"/>
    <mergeCell ref="J31:J32"/>
    <mergeCell ref="K31:K32"/>
    <mergeCell ref="L31:L32"/>
    <mergeCell ref="M31:M32"/>
    <mergeCell ref="N31:N32"/>
    <mergeCell ref="R31:R32"/>
    <mergeCell ref="S31:S32"/>
    <mergeCell ref="T31:T32"/>
    <mergeCell ref="U31:U32"/>
    <mergeCell ref="J27:U28"/>
    <mergeCell ref="S29:U29"/>
    <mergeCell ref="J29:L29"/>
    <mergeCell ref="M29:O29"/>
    <mergeCell ref="P29:R29"/>
    <mergeCell ref="O31:O32"/>
    <mergeCell ref="P31:P32"/>
    <mergeCell ref="C7:H13"/>
    <mergeCell ref="J39:U40"/>
    <mergeCell ref="J41:L41"/>
    <mergeCell ref="A1:AD3"/>
    <mergeCell ref="P15:R16"/>
    <mergeCell ref="M19:O20"/>
    <mergeCell ref="P17:R18"/>
    <mergeCell ref="P19:R20"/>
    <mergeCell ref="N22:Q23"/>
    <mergeCell ref="M7:O8"/>
    <mergeCell ref="P7:R8"/>
    <mergeCell ref="N10:Q11"/>
    <mergeCell ref="M17:O18"/>
    <mergeCell ref="M15:O16"/>
    <mergeCell ref="M13:O14"/>
    <mergeCell ref="P13:R14"/>
  </mergeCells>
  <conditionalFormatting sqref="J31">
    <cfRule type="cellIs" dxfId="1471" priority="1161" operator="equal">
      <formula>"Distinction"</formula>
    </cfRule>
    <cfRule type="cellIs" dxfId="1470" priority="1162" operator="equal">
      <formula>"Distinction"</formula>
    </cfRule>
  </conditionalFormatting>
  <conditionalFormatting sqref="J31">
    <cfRule type="cellIs" dxfId="1469" priority="1160" operator="equal">
      <formula>"Merit"</formula>
    </cfRule>
  </conditionalFormatting>
  <conditionalFormatting sqref="J31">
    <cfRule type="cellIs" dxfId="1468" priority="1159" operator="equal">
      <formula>"Pass"</formula>
    </cfRule>
  </conditionalFormatting>
  <conditionalFormatting sqref="J31">
    <cfRule type="cellIs" dxfId="1467" priority="1158" operator="equal">
      <formula>"No Grade"</formula>
    </cfRule>
  </conditionalFormatting>
  <conditionalFormatting sqref="K31">
    <cfRule type="cellIs" dxfId="1466" priority="1156" operator="equal">
      <formula>"Distinction"</formula>
    </cfRule>
    <cfRule type="cellIs" dxfId="1465" priority="1157" operator="equal">
      <formula>"Distinction"</formula>
    </cfRule>
  </conditionalFormatting>
  <conditionalFormatting sqref="K31">
    <cfRule type="cellIs" dxfId="1464" priority="1155" operator="equal">
      <formula>"Merit"</formula>
    </cfRule>
  </conditionalFormatting>
  <conditionalFormatting sqref="K31">
    <cfRule type="cellIs" dxfId="1463" priority="1154" operator="equal">
      <formula>"Pass"</formula>
    </cfRule>
  </conditionalFormatting>
  <conditionalFormatting sqref="K31">
    <cfRule type="cellIs" dxfId="1462" priority="1153" operator="equal">
      <formula>"No Grade"</formula>
    </cfRule>
  </conditionalFormatting>
  <conditionalFormatting sqref="N31">
    <cfRule type="cellIs" dxfId="1461" priority="1151" operator="equal">
      <formula>"Distinction"</formula>
    </cfRule>
    <cfRule type="cellIs" dxfId="1460" priority="1152" operator="equal">
      <formula>"Distinction"</formula>
    </cfRule>
  </conditionalFormatting>
  <conditionalFormatting sqref="N31">
    <cfRule type="cellIs" dxfId="1459" priority="1150" operator="equal">
      <formula>"Merit"</formula>
    </cfRule>
  </conditionalFormatting>
  <conditionalFormatting sqref="N31">
    <cfRule type="cellIs" dxfId="1458" priority="1149" operator="equal">
      <formula>"Pass"</formula>
    </cfRule>
  </conditionalFormatting>
  <conditionalFormatting sqref="N31">
    <cfRule type="cellIs" dxfId="1457" priority="1148" operator="equal">
      <formula>"No Grade"</formula>
    </cfRule>
  </conditionalFormatting>
  <conditionalFormatting sqref="Q31">
    <cfRule type="cellIs" dxfId="1456" priority="1146" operator="equal">
      <formula>"Distinction"</formula>
    </cfRule>
    <cfRule type="cellIs" dxfId="1455" priority="1147" operator="equal">
      <formula>"Distinction"</formula>
    </cfRule>
  </conditionalFormatting>
  <conditionalFormatting sqref="Q31">
    <cfRule type="cellIs" dxfId="1454" priority="1145" operator="equal">
      <formula>"Merit"</formula>
    </cfRule>
  </conditionalFormatting>
  <conditionalFormatting sqref="Q31">
    <cfRule type="cellIs" dxfId="1453" priority="1144" operator="equal">
      <formula>"Pass"</formula>
    </cfRule>
  </conditionalFormatting>
  <conditionalFormatting sqref="Q31">
    <cfRule type="cellIs" dxfId="1452" priority="1143" operator="equal">
      <formula>"No Grade"</formula>
    </cfRule>
  </conditionalFormatting>
  <conditionalFormatting sqref="T31">
    <cfRule type="cellIs" dxfId="1451" priority="1141" operator="equal">
      <formula>"Distinction"</formula>
    </cfRule>
    <cfRule type="cellIs" dxfId="1450" priority="1142" operator="equal">
      <formula>"Distinction"</formula>
    </cfRule>
  </conditionalFormatting>
  <conditionalFormatting sqref="T31">
    <cfRule type="cellIs" dxfId="1449" priority="1140" operator="equal">
      <formula>"Merit"</formula>
    </cfRule>
  </conditionalFormatting>
  <conditionalFormatting sqref="T31">
    <cfRule type="cellIs" dxfId="1448" priority="1139" operator="equal">
      <formula>"Pass"</formula>
    </cfRule>
  </conditionalFormatting>
  <conditionalFormatting sqref="T31">
    <cfRule type="cellIs" dxfId="1447" priority="1138" operator="equal">
      <formula>"No Grade"</formula>
    </cfRule>
  </conditionalFormatting>
  <conditionalFormatting sqref="K43">
    <cfRule type="cellIs" dxfId="1446" priority="1136" operator="equal">
      <formula>"Distinction"</formula>
    </cfRule>
    <cfRule type="cellIs" dxfId="1445" priority="1137" operator="equal">
      <formula>"Distinction"</formula>
    </cfRule>
  </conditionalFormatting>
  <conditionalFormatting sqref="K43">
    <cfRule type="cellIs" dxfId="1444" priority="1135" operator="equal">
      <formula>"Merit"</formula>
    </cfRule>
  </conditionalFormatting>
  <conditionalFormatting sqref="K43">
    <cfRule type="cellIs" dxfId="1443" priority="1134" operator="equal">
      <formula>"Pass"</formula>
    </cfRule>
  </conditionalFormatting>
  <conditionalFormatting sqref="K43">
    <cfRule type="cellIs" dxfId="1442" priority="1133" operator="equal">
      <formula>"No Grade"</formula>
    </cfRule>
  </conditionalFormatting>
  <conditionalFormatting sqref="N43">
    <cfRule type="cellIs" dxfId="1441" priority="1131" operator="equal">
      <formula>"Distinction"</formula>
    </cfRule>
    <cfRule type="cellIs" dxfId="1440" priority="1132" operator="equal">
      <formula>"Distinction"</formula>
    </cfRule>
  </conditionalFormatting>
  <conditionalFormatting sqref="N43">
    <cfRule type="cellIs" dxfId="1439" priority="1130" operator="equal">
      <formula>"Merit"</formula>
    </cfRule>
  </conditionalFormatting>
  <conditionalFormatting sqref="N43">
    <cfRule type="cellIs" dxfId="1438" priority="1129" operator="equal">
      <formula>"Pass"</formula>
    </cfRule>
  </conditionalFormatting>
  <conditionalFormatting sqref="N43">
    <cfRule type="cellIs" dxfId="1437" priority="1128" operator="equal">
      <formula>"No Grade"</formula>
    </cfRule>
  </conditionalFormatting>
  <conditionalFormatting sqref="Q43">
    <cfRule type="cellIs" dxfId="1436" priority="1126" operator="equal">
      <formula>"Distinction"</formula>
    </cfRule>
    <cfRule type="cellIs" dxfId="1435" priority="1127" operator="equal">
      <formula>"Distinction"</formula>
    </cfRule>
  </conditionalFormatting>
  <conditionalFormatting sqref="Q43">
    <cfRule type="cellIs" dxfId="1434" priority="1125" operator="equal">
      <formula>"Merit"</formula>
    </cfRule>
  </conditionalFormatting>
  <conditionalFormatting sqref="Q43">
    <cfRule type="cellIs" dxfId="1433" priority="1124" operator="equal">
      <formula>"Pass"</formula>
    </cfRule>
  </conditionalFormatting>
  <conditionalFormatting sqref="Q43">
    <cfRule type="cellIs" dxfId="1432" priority="1123" operator="equal">
      <formula>"No Grade"</formula>
    </cfRule>
  </conditionalFormatting>
  <conditionalFormatting sqref="T43">
    <cfRule type="cellIs" dxfId="1431" priority="1121" operator="equal">
      <formula>"Distinction"</formula>
    </cfRule>
    <cfRule type="cellIs" dxfId="1430" priority="1122" operator="equal">
      <formula>"Distinction"</formula>
    </cfRule>
  </conditionalFormatting>
  <conditionalFormatting sqref="T43">
    <cfRule type="cellIs" dxfId="1429" priority="1120" operator="equal">
      <formula>"Merit"</formula>
    </cfRule>
  </conditionalFormatting>
  <conditionalFormatting sqref="T43">
    <cfRule type="cellIs" dxfId="1428" priority="1119" operator="equal">
      <formula>"Pass"</formula>
    </cfRule>
  </conditionalFormatting>
  <conditionalFormatting sqref="T43">
    <cfRule type="cellIs" dxfId="1427" priority="1118" operator="equal">
      <formula>"No Grade"</formula>
    </cfRule>
  </conditionalFormatting>
  <conditionalFormatting sqref="J31:J32">
    <cfRule type="cellIs" dxfId="1426" priority="811" operator="lessThan">
      <formula>25</formula>
    </cfRule>
    <cfRule type="cellIs" dxfId="1425" priority="1030" operator="lessThan">
      <formula>25</formula>
    </cfRule>
    <cfRule type="cellIs" dxfId="1424" priority="1117" operator="lessThan">
      <formula>25</formula>
    </cfRule>
  </conditionalFormatting>
  <conditionalFormatting sqref="M31">
    <cfRule type="cellIs" dxfId="1423" priority="1115" operator="equal">
      <formula>"Distinction"</formula>
    </cfRule>
    <cfRule type="cellIs" dxfId="1422" priority="1116" operator="equal">
      <formula>"Distinction"</formula>
    </cfRule>
  </conditionalFormatting>
  <conditionalFormatting sqref="M31">
    <cfRule type="cellIs" dxfId="1421" priority="1114" operator="equal">
      <formula>"Merit"</formula>
    </cfRule>
  </conditionalFormatting>
  <conditionalFormatting sqref="M31">
    <cfRule type="cellIs" dxfId="1420" priority="1113" operator="equal">
      <formula>"Pass"</formula>
    </cfRule>
  </conditionalFormatting>
  <conditionalFormatting sqref="M31">
    <cfRule type="cellIs" dxfId="1419" priority="1112" operator="equal">
      <formula>"No Grade"</formula>
    </cfRule>
  </conditionalFormatting>
  <conditionalFormatting sqref="M31:M32">
    <cfRule type="cellIs" dxfId="1418" priority="1111" operator="lessThan">
      <formula>25</formula>
    </cfRule>
  </conditionalFormatting>
  <conditionalFormatting sqref="P31">
    <cfRule type="cellIs" dxfId="1417" priority="1109" operator="equal">
      <formula>"Distinction"</formula>
    </cfRule>
    <cfRule type="cellIs" dxfId="1416" priority="1110" operator="equal">
      <formula>"Distinction"</formula>
    </cfRule>
  </conditionalFormatting>
  <conditionalFormatting sqref="P31">
    <cfRule type="cellIs" dxfId="1415" priority="1108" operator="equal">
      <formula>"Merit"</formula>
    </cfRule>
  </conditionalFormatting>
  <conditionalFormatting sqref="P31">
    <cfRule type="cellIs" dxfId="1414" priority="1107" operator="equal">
      <formula>"Pass"</formula>
    </cfRule>
  </conditionalFormatting>
  <conditionalFormatting sqref="P31">
    <cfRule type="cellIs" dxfId="1413" priority="1106" operator="equal">
      <formula>"No Grade"</formula>
    </cfRule>
  </conditionalFormatting>
  <conditionalFormatting sqref="P31:P32">
    <cfRule type="cellIs" dxfId="1412" priority="1105" operator="lessThan">
      <formula>25</formula>
    </cfRule>
  </conditionalFormatting>
  <conditionalFormatting sqref="S31">
    <cfRule type="cellIs" dxfId="1411" priority="1103" operator="equal">
      <formula>"Distinction"</formula>
    </cfRule>
    <cfRule type="cellIs" dxfId="1410" priority="1104" operator="equal">
      <formula>"Distinction"</formula>
    </cfRule>
  </conditionalFormatting>
  <conditionalFormatting sqref="S31">
    <cfRule type="cellIs" dxfId="1409" priority="1102" operator="equal">
      <formula>"Merit"</formula>
    </cfRule>
  </conditionalFormatting>
  <conditionalFormatting sqref="S31">
    <cfRule type="cellIs" dxfId="1408" priority="1101" operator="equal">
      <formula>"Pass"</formula>
    </cfRule>
  </conditionalFormatting>
  <conditionalFormatting sqref="S31">
    <cfRule type="cellIs" dxfId="1407" priority="1100" operator="equal">
      <formula>"No Grade"</formula>
    </cfRule>
  </conditionalFormatting>
  <conditionalFormatting sqref="S31:S32">
    <cfRule type="cellIs" dxfId="1406" priority="1099" operator="lessThan">
      <formula>25</formula>
    </cfRule>
  </conditionalFormatting>
  <conditionalFormatting sqref="J43">
    <cfRule type="cellIs" dxfId="1405" priority="1055" operator="equal">
      <formula>"Distinction"</formula>
    </cfRule>
    <cfRule type="cellIs" dxfId="1404" priority="1056" operator="equal">
      <formula>"Distinction"</formula>
    </cfRule>
  </conditionalFormatting>
  <conditionalFormatting sqref="J43">
    <cfRule type="cellIs" dxfId="1403" priority="1054" operator="equal">
      <formula>"Merit"</formula>
    </cfRule>
  </conditionalFormatting>
  <conditionalFormatting sqref="J43">
    <cfRule type="cellIs" dxfId="1402" priority="1053" operator="equal">
      <formula>"Pass"</formula>
    </cfRule>
  </conditionalFormatting>
  <conditionalFormatting sqref="J43">
    <cfRule type="cellIs" dxfId="1401" priority="1052" operator="equal">
      <formula>"No Grade"</formula>
    </cfRule>
  </conditionalFormatting>
  <conditionalFormatting sqref="J43:J44">
    <cfRule type="cellIs" dxfId="1400" priority="1051" operator="lessThan">
      <formula>25</formula>
    </cfRule>
  </conditionalFormatting>
  <conditionalFormatting sqref="M43">
    <cfRule type="cellIs" dxfId="1399" priority="1049" operator="equal">
      <formula>"Distinction"</formula>
    </cfRule>
    <cfRule type="cellIs" dxfId="1398" priority="1050" operator="equal">
      <formula>"Distinction"</formula>
    </cfRule>
  </conditionalFormatting>
  <conditionalFormatting sqref="M43">
    <cfRule type="cellIs" dxfId="1397" priority="1048" operator="equal">
      <formula>"Merit"</formula>
    </cfRule>
  </conditionalFormatting>
  <conditionalFormatting sqref="M43">
    <cfRule type="cellIs" dxfId="1396" priority="1047" operator="equal">
      <formula>"Pass"</formula>
    </cfRule>
  </conditionalFormatting>
  <conditionalFormatting sqref="M43">
    <cfRule type="cellIs" dxfId="1395" priority="1046" operator="equal">
      <formula>"No Grade"</formula>
    </cfRule>
  </conditionalFormatting>
  <conditionalFormatting sqref="M43:M44">
    <cfRule type="cellIs" dxfId="1394" priority="1045" operator="lessThan">
      <formula>25</formula>
    </cfRule>
  </conditionalFormatting>
  <conditionalFormatting sqref="P43">
    <cfRule type="cellIs" dxfId="1393" priority="1043" operator="equal">
      <formula>"Distinction"</formula>
    </cfRule>
    <cfRule type="cellIs" dxfId="1392" priority="1044" operator="equal">
      <formula>"Distinction"</formula>
    </cfRule>
  </conditionalFormatting>
  <conditionalFormatting sqref="P43">
    <cfRule type="cellIs" dxfId="1391" priority="1042" operator="equal">
      <formula>"Merit"</formula>
    </cfRule>
  </conditionalFormatting>
  <conditionalFormatting sqref="P43">
    <cfRule type="cellIs" dxfId="1390" priority="1041" operator="equal">
      <formula>"Pass"</formula>
    </cfRule>
  </conditionalFormatting>
  <conditionalFormatting sqref="P43">
    <cfRule type="cellIs" dxfId="1389" priority="1040" operator="equal">
      <formula>"No Grade"</formula>
    </cfRule>
  </conditionalFormatting>
  <conditionalFormatting sqref="P43:P44">
    <cfRule type="cellIs" dxfId="1388" priority="1039" operator="lessThan">
      <formula>25</formula>
    </cfRule>
  </conditionalFormatting>
  <conditionalFormatting sqref="S43">
    <cfRule type="cellIs" dxfId="1387" priority="1037" operator="equal">
      <formula>"Distinction"</formula>
    </cfRule>
    <cfRule type="cellIs" dxfId="1386" priority="1038" operator="equal">
      <formula>"Distinction"</formula>
    </cfRule>
  </conditionalFormatting>
  <conditionalFormatting sqref="S43">
    <cfRule type="cellIs" dxfId="1385" priority="1036" operator="equal">
      <formula>"Merit"</formula>
    </cfRule>
  </conditionalFormatting>
  <conditionalFormatting sqref="S43">
    <cfRule type="cellIs" dxfId="1384" priority="1035" operator="equal">
      <formula>"Pass"</formula>
    </cfRule>
  </conditionalFormatting>
  <conditionalFormatting sqref="S43">
    <cfRule type="cellIs" dxfId="1383" priority="1034" operator="equal">
      <formula>"No Grade"</formula>
    </cfRule>
  </conditionalFormatting>
  <conditionalFormatting sqref="S43:S44">
    <cfRule type="cellIs" dxfId="1382" priority="1033" operator="lessThan">
      <formula>25</formula>
    </cfRule>
  </conditionalFormatting>
  <conditionalFormatting sqref="J31:J32 M31:M32 P31:P32 S31:S32 J43:J44 M43:M44 S43:S44 P43:P44">
    <cfRule type="cellIs" dxfId="1381" priority="1031" operator="lessThan">
      <formula>25</formula>
    </cfRule>
    <cfRule type="cellIs" dxfId="1380" priority="1032" operator="lessThan">
      <formula>25</formula>
    </cfRule>
  </conditionalFormatting>
  <conditionalFormatting sqref="M31">
    <cfRule type="cellIs" dxfId="1379" priority="1028" operator="equal">
      <formula>"Distinction"</formula>
    </cfRule>
    <cfRule type="cellIs" dxfId="1378" priority="1029" operator="equal">
      <formula>"Distinction"</formula>
    </cfRule>
  </conditionalFormatting>
  <conditionalFormatting sqref="M31">
    <cfRule type="cellIs" dxfId="1377" priority="1027" operator="equal">
      <formula>"Merit"</formula>
    </cfRule>
  </conditionalFormatting>
  <conditionalFormatting sqref="M31">
    <cfRule type="cellIs" dxfId="1376" priority="1026" operator="equal">
      <formula>"Pass"</formula>
    </cfRule>
  </conditionalFormatting>
  <conditionalFormatting sqref="M31">
    <cfRule type="cellIs" dxfId="1375" priority="1025" operator="equal">
      <formula>"No Grade"</formula>
    </cfRule>
  </conditionalFormatting>
  <conditionalFormatting sqref="M31:M32">
    <cfRule type="cellIs" dxfId="1374" priority="1023" operator="lessThan">
      <formula>25</formula>
    </cfRule>
    <cfRule type="cellIs" dxfId="1373" priority="1024" operator="lessThan">
      <formula>25</formula>
    </cfRule>
  </conditionalFormatting>
  <conditionalFormatting sqref="P31">
    <cfRule type="cellIs" dxfId="1372" priority="1021" operator="equal">
      <formula>"Distinction"</formula>
    </cfRule>
    <cfRule type="cellIs" dxfId="1371" priority="1022" operator="equal">
      <formula>"Distinction"</formula>
    </cfRule>
  </conditionalFormatting>
  <conditionalFormatting sqref="P31">
    <cfRule type="cellIs" dxfId="1370" priority="1020" operator="equal">
      <formula>"Merit"</formula>
    </cfRule>
  </conditionalFormatting>
  <conditionalFormatting sqref="P31">
    <cfRule type="cellIs" dxfId="1369" priority="1019" operator="equal">
      <formula>"Pass"</formula>
    </cfRule>
  </conditionalFormatting>
  <conditionalFormatting sqref="P31">
    <cfRule type="cellIs" dxfId="1368" priority="1018" operator="equal">
      <formula>"No Grade"</formula>
    </cfRule>
  </conditionalFormatting>
  <conditionalFormatting sqref="P31:P32">
    <cfRule type="cellIs" dxfId="1367" priority="1017" operator="lessThan">
      <formula>25</formula>
    </cfRule>
  </conditionalFormatting>
  <conditionalFormatting sqref="P31">
    <cfRule type="cellIs" dxfId="1366" priority="1015" operator="equal">
      <formula>"Distinction"</formula>
    </cfRule>
    <cfRule type="cellIs" dxfId="1365" priority="1016" operator="equal">
      <formula>"Distinction"</formula>
    </cfRule>
  </conditionalFormatting>
  <conditionalFormatting sqref="P31">
    <cfRule type="cellIs" dxfId="1364" priority="1014" operator="equal">
      <formula>"Merit"</formula>
    </cfRule>
  </conditionalFormatting>
  <conditionalFormatting sqref="P31">
    <cfRule type="cellIs" dxfId="1363" priority="1013" operator="equal">
      <formula>"Pass"</formula>
    </cfRule>
  </conditionalFormatting>
  <conditionalFormatting sqref="P31">
    <cfRule type="cellIs" dxfId="1362" priority="1012" operator="equal">
      <formula>"No Grade"</formula>
    </cfRule>
  </conditionalFormatting>
  <conditionalFormatting sqref="P31:P32">
    <cfRule type="cellIs" dxfId="1361" priority="1010" operator="lessThan">
      <formula>25</formula>
    </cfRule>
    <cfRule type="cellIs" dxfId="1360" priority="1011" operator="lessThan">
      <formula>25</formula>
    </cfRule>
  </conditionalFormatting>
  <conditionalFormatting sqref="S31">
    <cfRule type="cellIs" dxfId="1359" priority="1008" operator="equal">
      <formula>"Distinction"</formula>
    </cfRule>
    <cfRule type="cellIs" dxfId="1358" priority="1009" operator="equal">
      <formula>"Distinction"</formula>
    </cfRule>
  </conditionalFormatting>
  <conditionalFormatting sqref="S31">
    <cfRule type="cellIs" dxfId="1357" priority="1007" operator="equal">
      <formula>"Merit"</formula>
    </cfRule>
  </conditionalFormatting>
  <conditionalFormatting sqref="S31">
    <cfRule type="cellIs" dxfId="1356" priority="1006" operator="equal">
      <formula>"Pass"</formula>
    </cfRule>
  </conditionalFormatting>
  <conditionalFormatting sqref="S31">
    <cfRule type="cellIs" dxfId="1355" priority="1005" operator="equal">
      <formula>"No Grade"</formula>
    </cfRule>
  </conditionalFormatting>
  <conditionalFormatting sqref="S31:S32">
    <cfRule type="cellIs" dxfId="1354" priority="1004" operator="lessThan">
      <formula>25</formula>
    </cfRule>
  </conditionalFormatting>
  <conditionalFormatting sqref="S31">
    <cfRule type="cellIs" dxfId="1353" priority="1002" operator="equal">
      <formula>"Distinction"</formula>
    </cfRule>
    <cfRule type="cellIs" dxfId="1352" priority="1003" operator="equal">
      <formula>"Distinction"</formula>
    </cfRule>
  </conditionalFormatting>
  <conditionalFormatting sqref="S31">
    <cfRule type="cellIs" dxfId="1351" priority="1001" operator="equal">
      <formula>"Merit"</formula>
    </cfRule>
  </conditionalFormatting>
  <conditionalFormatting sqref="S31">
    <cfRule type="cellIs" dxfId="1350" priority="1000" operator="equal">
      <formula>"Pass"</formula>
    </cfRule>
  </conditionalFormatting>
  <conditionalFormatting sqref="S31">
    <cfRule type="cellIs" dxfId="1349" priority="999" operator="equal">
      <formula>"No Grade"</formula>
    </cfRule>
  </conditionalFormatting>
  <conditionalFormatting sqref="S31:S32">
    <cfRule type="cellIs" dxfId="1348" priority="998" operator="lessThan">
      <formula>25</formula>
    </cfRule>
  </conditionalFormatting>
  <conditionalFormatting sqref="S31">
    <cfRule type="cellIs" dxfId="1347" priority="996" operator="equal">
      <formula>"Distinction"</formula>
    </cfRule>
    <cfRule type="cellIs" dxfId="1346" priority="997" operator="equal">
      <formula>"Distinction"</formula>
    </cfRule>
  </conditionalFormatting>
  <conditionalFormatting sqref="S31">
    <cfRule type="cellIs" dxfId="1345" priority="995" operator="equal">
      <formula>"Merit"</formula>
    </cfRule>
  </conditionalFormatting>
  <conditionalFormatting sqref="S31">
    <cfRule type="cellIs" dxfId="1344" priority="994" operator="equal">
      <formula>"Pass"</formula>
    </cfRule>
  </conditionalFormatting>
  <conditionalFormatting sqref="S31">
    <cfRule type="cellIs" dxfId="1343" priority="993" operator="equal">
      <formula>"No Grade"</formula>
    </cfRule>
  </conditionalFormatting>
  <conditionalFormatting sqref="S31:S32">
    <cfRule type="cellIs" dxfId="1342" priority="991" operator="lessThan">
      <formula>25</formula>
    </cfRule>
    <cfRule type="cellIs" dxfId="1341" priority="992" operator="lessThan">
      <formula>25</formula>
    </cfRule>
  </conditionalFormatting>
  <conditionalFormatting sqref="J43">
    <cfRule type="cellIs" dxfId="1340" priority="989" operator="equal">
      <formula>"Distinction"</formula>
    </cfRule>
    <cfRule type="cellIs" dxfId="1339" priority="990" operator="equal">
      <formula>"Distinction"</formula>
    </cfRule>
  </conditionalFormatting>
  <conditionalFormatting sqref="J43">
    <cfRule type="cellIs" dxfId="1338" priority="988" operator="equal">
      <formula>"Merit"</formula>
    </cfRule>
  </conditionalFormatting>
  <conditionalFormatting sqref="J43">
    <cfRule type="cellIs" dxfId="1337" priority="987" operator="equal">
      <formula>"Pass"</formula>
    </cfRule>
  </conditionalFormatting>
  <conditionalFormatting sqref="J43">
    <cfRule type="cellIs" dxfId="1336" priority="986" operator="equal">
      <formula>"No Grade"</formula>
    </cfRule>
  </conditionalFormatting>
  <conditionalFormatting sqref="J43:J44">
    <cfRule type="cellIs" dxfId="1335" priority="985" operator="lessThan">
      <formula>25</formula>
    </cfRule>
  </conditionalFormatting>
  <conditionalFormatting sqref="J43">
    <cfRule type="cellIs" dxfId="1334" priority="983" operator="equal">
      <formula>"Distinction"</formula>
    </cfRule>
    <cfRule type="cellIs" dxfId="1333" priority="984" operator="equal">
      <formula>"Distinction"</formula>
    </cfRule>
  </conditionalFormatting>
  <conditionalFormatting sqref="J43">
    <cfRule type="cellIs" dxfId="1332" priority="982" operator="equal">
      <formula>"Merit"</formula>
    </cfRule>
  </conditionalFormatting>
  <conditionalFormatting sqref="J43">
    <cfRule type="cellIs" dxfId="1331" priority="981" operator="equal">
      <formula>"Pass"</formula>
    </cfRule>
  </conditionalFormatting>
  <conditionalFormatting sqref="J43">
    <cfRule type="cellIs" dxfId="1330" priority="980" operator="equal">
      <formula>"No Grade"</formula>
    </cfRule>
  </conditionalFormatting>
  <conditionalFormatting sqref="J43:J44">
    <cfRule type="cellIs" dxfId="1329" priority="979" operator="lessThan">
      <formula>25</formula>
    </cfRule>
  </conditionalFormatting>
  <conditionalFormatting sqref="J43">
    <cfRule type="cellIs" dxfId="1328" priority="977" operator="equal">
      <formula>"Distinction"</formula>
    </cfRule>
    <cfRule type="cellIs" dxfId="1327" priority="978" operator="equal">
      <formula>"Distinction"</formula>
    </cfRule>
  </conditionalFormatting>
  <conditionalFormatting sqref="J43">
    <cfRule type="cellIs" dxfId="1326" priority="976" operator="equal">
      <formula>"Merit"</formula>
    </cfRule>
  </conditionalFormatting>
  <conditionalFormatting sqref="J43">
    <cfRule type="cellIs" dxfId="1325" priority="975" operator="equal">
      <formula>"Pass"</formula>
    </cfRule>
  </conditionalFormatting>
  <conditionalFormatting sqref="J43">
    <cfRule type="cellIs" dxfId="1324" priority="974" operator="equal">
      <formula>"No Grade"</formula>
    </cfRule>
  </conditionalFormatting>
  <conditionalFormatting sqref="J43:J44">
    <cfRule type="cellIs" dxfId="1323" priority="973" operator="lessThan">
      <formula>25</formula>
    </cfRule>
  </conditionalFormatting>
  <conditionalFormatting sqref="J43">
    <cfRule type="cellIs" dxfId="1322" priority="971" operator="equal">
      <formula>"Distinction"</formula>
    </cfRule>
    <cfRule type="cellIs" dxfId="1321" priority="972" operator="equal">
      <formula>"Distinction"</formula>
    </cfRule>
  </conditionalFormatting>
  <conditionalFormatting sqref="J43">
    <cfRule type="cellIs" dxfId="1320" priority="970" operator="equal">
      <formula>"Merit"</formula>
    </cfRule>
  </conditionalFormatting>
  <conditionalFormatting sqref="J43">
    <cfRule type="cellIs" dxfId="1319" priority="969" operator="equal">
      <formula>"Pass"</formula>
    </cfRule>
  </conditionalFormatting>
  <conditionalFormatting sqref="J43">
    <cfRule type="cellIs" dxfId="1318" priority="968" operator="equal">
      <formula>"No Grade"</formula>
    </cfRule>
  </conditionalFormatting>
  <conditionalFormatting sqref="J43:J44">
    <cfRule type="cellIs" dxfId="1317" priority="966" operator="lessThan">
      <formula>25</formula>
    </cfRule>
    <cfRule type="cellIs" dxfId="1316" priority="967" operator="lessThan">
      <formula>25</formula>
    </cfRule>
  </conditionalFormatting>
  <conditionalFormatting sqref="M43">
    <cfRule type="cellIs" dxfId="1315" priority="964" operator="equal">
      <formula>"Distinction"</formula>
    </cfRule>
    <cfRule type="cellIs" dxfId="1314" priority="965" operator="equal">
      <formula>"Distinction"</formula>
    </cfRule>
  </conditionalFormatting>
  <conditionalFormatting sqref="M43">
    <cfRule type="cellIs" dxfId="1313" priority="963" operator="equal">
      <formula>"Merit"</formula>
    </cfRule>
  </conditionalFormatting>
  <conditionalFormatting sqref="M43">
    <cfRule type="cellIs" dxfId="1312" priority="962" operator="equal">
      <formula>"Pass"</formula>
    </cfRule>
  </conditionalFormatting>
  <conditionalFormatting sqref="M43">
    <cfRule type="cellIs" dxfId="1311" priority="961" operator="equal">
      <formula>"No Grade"</formula>
    </cfRule>
  </conditionalFormatting>
  <conditionalFormatting sqref="M43:M44">
    <cfRule type="cellIs" dxfId="1310" priority="960" operator="lessThan">
      <formula>25</formula>
    </cfRule>
  </conditionalFormatting>
  <conditionalFormatting sqref="M43">
    <cfRule type="cellIs" dxfId="1309" priority="958" operator="equal">
      <formula>"Distinction"</formula>
    </cfRule>
    <cfRule type="cellIs" dxfId="1308" priority="959" operator="equal">
      <formula>"Distinction"</formula>
    </cfRule>
  </conditionalFormatting>
  <conditionalFormatting sqref="M43">
    <cfRule type="cellIs" dxfId="1307" priority="957" operator="equal">
      <formula>"Merit"</formula>
    </cfRule>
  </conditionalFormatting>
  <conditionalFormatting sqref="M43">
    <cfRule type="cellIs" dxfId="1306" priority="956" operator="equal">
      <formula>"Pass"</formula>
    </cfRule>
  </conditionalFormatting>
  <conditionalFormatting sqref="M43">
    <cfRule type="cellIs" dxfId="1305" priority="955" operator="equal">
      <formula>"No Grade"</formula>
    </cfRule>
  </conditionalFormatting>
  <conditionalFormatting sqref="M43:M44">
    <cfRule type="cellIs" dxfId="1304" priority="954" operator="lessThan">
      <formula>25</formula>
    </cfRule>
  </conditionalFormatting>
  <conditionalFormatting sqref="M43">
    <cfRule type="cellIs" dxfId="1303" priority="952" operator="equal">
      <formula>"Distinction"</formula>
    </cfRule>
    <cfRule type="cellIs" dxfId="1302" priority="953" operator="equal">
      <formula>"Distinction"</formula>
    </cfRule>
  </conditionalFormatting>
  <conditionalFormatting sqref="M43">
    <cfRule type="cellIs" dxfId="1301" priority="951" operator="equal">
      <formula>"Merit"</formula>
    </cfRule>
  </conditionalFormatting>
  <conditionalFormatting sqref="M43">
    <cfRule type="cellIs" dxfId="1300" priority="950" operator="equal">
      <formula>"Pass"</formula>
    </cfRule>
  </conditionalFormatting>
  <conditionalFormatting sqref="M43">
    <cfRule type="cellIs" dxfId="1299" priority="949" operator="equal">
      <formula>"No Grade"</formula>
    </cfRule>
  </conditionalFormatting>
  <conditionalFormatting sqref="M43:M44">
    <cfRule type="cellIs" dxfId="1298" priority="948" operator="lessThan">
      <formula>25</formula>
    </cfRule>
  </conditionalFormatting>
  <conditionalFormatting sqref="M43">
    <cfRule type="cellIs" dxfId="1297" priority="946" operator="equal">
      <formula>"Distinction"</formula>
    </cfRule>
    <cfRule type="cellIs" dxfId="1296" priority="947" operator="equal">
      <formula>"Distinction"</formula>
    </cfRule>
  </conditionalFormatting>
  <conditionalFormatting sqref="M43">
    <cfRule type="cellIs" dxfId="1295" priority="945" operator="equal">
      <formula>"Merit"</formula>
    </cfRule>
  </conditionalFormatting>
  <conditionalFormatting sqref="M43">
    <cfRule type="cellIs" dxfId="1294" priority="944" operator="equal">
      <formula>"Pass"</formula>
    </cfRule>
  </conditionalFormatting>
  <conditionalFormatting sqref="M43">
    <cfRule type="cellIs" dxfId="1293" priority="943" operator="equal">
      <formula>"No Grade"</formula>
    </cfRule>
  </conditionalFormatting>
  <conditionalFormatting sqref="M43:M44">
    <cfRule type="cellIs" dxfId="1292" priority="942" operator="lessThan">
      <formula>25</formula>
    </cfRule>
  </conditionalFormatting>
  <conditionalFormatting sqref="M43">
    <cfRule type="cellIs" dxfId="1291" priority="940" operator="equal">
      <formula>"Distinction"</formula>
    </cfRule>
    <cfRule type="cellIs" dxfId="1290" priority="941" operator="equal">
      <formula>"Distinction"</formula>
    </cfRule>
  </conditionalFormatting>
  <conditionalFormatting sqref="M43">
    <cfRule type="cellIs" dxfId="1289" priority="939" operator="equal">
      <formula>"Merit"</formula>
    </cfRule>
  </conditionalFormatting>
  <conditionalFormatting sqref="M43">
    <cfRule type="cellIs" dxfId="1288" priority="938" operator="equal">
      <formula>"Pass"</formula>
    </cfRule>
  </conditionalFormatting>
  <conditionalFormatting sqref="M43">
    <cfRule type="cellIs" dxfId="1287" priority="937" operator="equal">
      <formula>"No Grade"</formula>
    </cfRule>
  </conditionalFormatting>
  <conditionalFormatting sqref="M43:M44">
    <cfRule type="cellIs" dxfId="1286" priority="935" operator="lessThan">
      <formula>25</formula>
    </cfRule>
    <cfRule type="cellIs" dxfId="1285" priority="936" operator="lessThan">
      <formula>25</formula>
    </cfRule>
  </conditionalFormatting>
  <conditionalFormatting sqref="P43">
    <cfRule type="cellIs" dxfId="1284" priority="933" operator="equal">
      <formula>"Distinction"</formula>
    </cfRule>
    <cfRule type="cellIs" dxfId="1283" priority="934" operator="equal">
      <formula>"Distinction"</formula>
    </cfRule>
  </conditionalFormatting>
  <conditionalFormatting sqref="P43">
    <cfRule type="cellIs" dxfId="1282" priority="932" operator="equal">
      <formula>"Merit"</formula>
    </cfRule>
  </conditionalFormatting>
  <conditionalFormatting sqref="P43">
    <cfRule type="cellIs" dxfId="1281" priority="931" operator="equal">
      <formula>"Pass"</formula>
    </cfRule>
  </conditionalFormatting>
  <conditionalFormatting sqref="P43">
    <cfRule type="cellIs" dxfId="1280" priority="930" operator="equal">
      <formula>"No Grade"</formula>
    </cfRule>
  </conditionalFormatting>
  <conditionalFormatting sqref="P43:P44">
    <cfRule type="cellIs" dxfId="1279" priority="929" operator="lessThan">
      <formula>25</formula>
    </cfRule>
  </conditionalFormatting>
  <conditionalFormatting sqref="P43">
    <cfRule type="cellIs" dxfId="1278" priority="927" operator="equal">
      <formula>"Distinction"</formula>
    </cfRule>
    <cfRule type="cellIs" dxfId="1277" priority="928" operator="equal">
      <formula>"Distinction"</formula>
    </cfRule>
  </conditionalFormatting>
  <conditionalFormatting sqref="P43">
    <cfRule type="cellIs" dxfId="1276" priority="926" operator="equal">
      <formula>"Merit"</formula>
    </cfRule>
  </conditionalFormatting>
  <conditionalFormatting sqref="P43">
    <cfRule type="cellIs" dxfId="1275" priority="925" operator="equal">
      <formula>"Pass"</formula>
    </cfRule>
  </conditionalFormatting>
  <conditionalFormatting sqref="P43">
    <cfRule type="cellIs" dxfId="1274" priority="924" operator="equal">
      <formula>"No Grade"</formula>
    </cfRule>
  </conditionalFormatting>
  <conditionalFormatting sqref="P43:P44">
    <cfRule type="cellIs" dxfId="1273" priority="923" operator="lessThan">
      <formula>25</formula>
    </cfRule>
  </conditionalFormatting>
  <conditionalFormatting sqref="P43">
    <cfRule type="cellIs" dxfId="1272" priority="921" operator="equal">
      <formula>"Distinction"</formula>
    </cfRule>
    <cfRule type="cellIs" dxfId="1271" priority="922" operator="equal">
      <formula>"Distinction"</formula>
    </cfRule>
  </conditionalFormatting>
  <conditionalFormatting sqref="P43">
    <cfRule type="cellIs" dxfId="1270" priority="920" operator="equal">
      <formula>"Merit"</formula>
    </cfRule>
  </conditionalFormatting>
  <conditionalFormatting sqref="P43">
    <cfRule type="cellIs" dxfId="1269" priority="919" operator="equal">
      <formula>"Pass"</formula>
    </cfRule>
  </conditionalFormatting>
  <conditionalFormatting sqref="P43">
    <cfRule type="cellIs" dxfId="1268" priority="918" operator="equal">
      <formula>"No Grade"</formula>
    </cfRule>
  </conditionalFormatting>
  <conditionalFormatting sqref="P43:P44">
    <cfRule type="cellIs" dxfId="1267" priority="917" operator="lessThan">
      <formula>25</formula>
    </cfRule>
  </conditionalFormatting>
  <conditionalFormatting sqref="P43">
    <cfRule type="cellIs" dxfId="1266" priority="915" operator="equal">
      <formula>"Distinction"</formula>
    </cfRule>
    <cfRule type="cellIs" dxfId="1265" priority="916" operator="equal">
      <formula>"Distinction"</formula>
    </cfRule>
  </conditionalFormatting>
  <conditionalFormatting sqref="P43">
    <cfRule type="cellIs" dxfId="1264" priority="914" operator="equal">
      <formula>"Merit"</formula>
    </cfRule>
  </conditionalFormatting>
  <conditionalFormatting sqref="P43">
    <cfRule type="cellIs" dxfId="1263" priority="913" operator="equal">
      <formula>"Pass"</formula>
    </cfRule>
  </conditionalFormatting>
  <conditionalFormatting sqref="P43">
    <cfRule type="cellIs" dxfId="1262" priority="912" operator="equal">
      <formula>"No Grade"</formula>
    </cfRule>
  </conditionalFormatting>
  <conditionalFormatting sqref="P43:P44">
    <cfRule type="cellIs" dxfId="1261" priority="911" operator="lessThan">
      <formula>25</formula>
    </cfRule>
  </conditionalFormatting>
  <conditionalFormatting sqref="P43">
    <cfRule type="cellIs" dxfId="1260" priority="909" operator="equal">
      <formula>"Distinction"</formula>
    </cfRule>
    <cfRule type="cellIs" dxfId="1259" priority="910" operator="equal">
      <formula>"Distinction"</formula>
    </cfRule>
  </conditionalFormatting>
  <conditionalFormatting sqref="P43">
    <cfRule type="cellIs" dxfId="1258" priority="908" operator="equal">
      <formula>"Merit"</formula>
    </cfRule>
  </conditionalFormatting>
  <conditionalFormatting sqref="P43">
    <cfRule type="cellIs" dxfId="1257" priority="907" operator="equal">
      <formula>"Pass"</formula>
    </cfRule>
  </conditionalFormatting>
  <conditionalFormatting sqref="P43">
    <cfRule type="cellIs" dxfId="1256" priority="906" operator="equal">
      <formula>"No Grade"</formula>
    </cfRule>
  </conditionalFormatting>
  <conditionalFormatting sqref="P43:P44">
    <cfRule type="cellIs" dxfId="1255" priority="905" operator="lessThan">
      <formula>25</formula>
    </cfRule>
  </conditionalFormatting>
  <conditionalFormatting sqref="P43">
    <cfRule type="cellIs" dxfId="1254" priority="903" operator="equal">
      <formula>"Distinction"</formula>
    </cfRule>
    <cfRule type="cellIs" dxfId="1253" priority="904" operator="equal">
      <formula>"Distinction"</formula>
    </cfRule>
  </conditionalFormatting>
  <conditionalFormatting sqref="P43">
    <cfRule type="cellIs" dxfId="1252" priority="902" operator="equal">
      <formula>"Merit"</formula>
    </cfRule>
  </conditionalFormatting>
  <conditionalFormatting sqref="P43">
    <cfRule type="cellIs" dxfId="1251" priority="901" operator="equal">
      <formula>"Pass"</formula>
    </cfRule>
  </conditionalFormatting>
  <conditionalFormatting sqref="P43">
    <cfRule type="cellIs" dxfId="1250" priority="900" operator="equal">
      <formula>"No Grade"</formula>
    </cfRule>
  </conditionalFormatting>
  <conditionalFormatting sqref="P43:P44">
    <cfRule type="cellIs" dxfId="1249" priority="898" operator="lessThan">
      <formula>25</formula>
    </cfRule>
    <cfRule type="cellIs" dxfId="1248" priority="899" operator="lessThan">
      <formula>25</formula>
    </cfRule>
  </conditionalFormatting>
  <conditionalFormatting sqref="S43">
    <cfRule type="cellIs" dxfId="1247" priority="896" operator="equal">
      <formula>"Distinction"</formula>
    </cfRule>
    <cfRule type="cellIs" dxfId="1246" priority="897" operator="equal">
      <formula>"Distinction"</formula>
    </cfRule>
  </conditionalFormatting>
  <conditionalFormatting sqref="S43">
    <cfRule type="cellIs" dxfId="1245" priority="895" operator="equal">
      <formula>"Merit"</formula>
    </cfRule>
  </conditionalFormatting>
  <conditionalFormatting sqref="S43">
    <cfRule type="cellIs" dxfId="1244" priority="894" operator="equal">
      <formula>"Pass"</formula>
    </cfRule>
  </conditionalFormatting>
  <conditionalFormatting sqref="S43">
    <cfRule type="cellIs" dxfId="1243" priority="893" operator="equal">
      <formula>"No Grade"</formula>
    </cfRule>
  </conditionalFormatting>
  <conditionalFormatting sqref="S43:S44">
    <cfRule type="cellIs" dxfId="1242" priority="892" operator="lessThan">
      <formula>25</formula>
    </cfRule>
  </conditionalFormatting>
  <conditionalFormatting sqref="S43">
    <cfRule type="cellIs" dxfId="1241" priority="890" operator="equal">
      <formula>"Distinction"</formula>
    </cfRule>
    <cfRule type="cellIs" dxfId="1240" priority="891" operator="equal">
      <formula>"Distinction"</formula>
    </cfRule>
  </conditionalFormatting>
  <conditionalFormatting sqref="S43">
    <cfRule type="cellIs" dxfId="1239" priority="889" operator="equal">
      <formula>"Merit"</formula>
    </cfRule>
  </conditionalFormatting>
  <conditionalFormatting sqref="S43">
    <cfRule type="cellIs" dxfId="1238" priority="888" operator="equal">
      <formula>"Pass"</formula>
    </cfRule>
  </conditionalFormatting>
  <conditionalFormatting sqref="S43">
    <cfRule type="cellIs" dxfId="1237" priority="887" operator="equal">
      <formula>"No Grade"</formula>
    </cfRule>
  </conditionalFormatting>
  <conditionalFormatting sqref="S43:S44">
    <cfRule type="cellIs" dxfId="1236" priority="886" operator="lessThan">
      <formula>25</formula>
    </cfRule>
  </conditionalFormatting>
  <conditionalFormatting sqref="S43">
    <cfRule type="cellIs" dxfId="1235" priority="884" operator="equal">
      <formula>"Distinction"</formula>
    </cfRule>
    <cfRule type="cellIs" dxfId="1234" priority="885" operator="equal">
      <formula>"Distinction"</formula>
    </cfRule>
  </conditionalFormatting>
  <conditionalFormatting sqref="S43">
    <cfRule type="cellIs" dxfId="1233" priority="883" operator="equal">
      <formula>"Merit"</formula>
    </cfRule>
  </conditionalFormatting>
  <conditionalFormatting sqref="S43">
    <cfRule type="cellIs" dxfId="1232" priority="882" operator="equal">
      <formula>"Pass"</formula>
    </cfRule>
  </conditionalFormatting>
  <conditionalFormatting sqref="S43">
    <cfRule type="cellIs" dxfId="1231" priority="881" operator="equal">
      <formula>"No Grade"</formula>
    </cfRule>
  </conditionalFormatting>
  <conditionalFormatting sqref="S43:S44">
    <cfRule type="cellIs" dxfId="1230" priority="880" operator="lessThan">
      <formula>25</formula>
    </cfRule>
  </conditionalFormatting>
  <conditionalFormatting sqref="S43">
    <cfRule type="cellIs" dxfId="1229" priority="878" operator="equal">
      <formula>"Distinction"</formula>
    </cfRule>
    <cfRule type="cellIs" dxfId="1228" priority="879" operator="equal">
      <formula>"Distinction"</formula>
    </cfRule>
  </conditionalFormatting>
  <conditionalFormatting sqref="S43">
    <cfRule type="cellIs" dxfId="1227" priority="877" operator="equal">
      <formula>"Merit"</formula>
    </cfRule>
  </conditionalFormatting>
  <conditionalFormatting sqref="S43">
    <cfRule type="cellIs" dxfId="1226" priority="876" operator="equal">
      <formula>"Pass"</formula>
    </cfRule>
  </conditionalFormatting>
  <conditionalFormatting sqref="S43">
    <cfRule type="cellIs" dxfId="1225" priority="875" operator="equal">
      <formula>"No Grade"</formula>
    </cfRule>
  </conditionalFormatting>
  <conditionalFormatting sqref="S43:S44">
    <cfRule type="cellIs" dxfId="1224" priority="874" operator="lessThan">
      <formula>25</formula>
    </cfRule>
  </conditionalFormatting>
  <conditionalFormatting sqref="S43">
    <cfRule type="cellIs" dxfId="1223" priority="872" operator="equal">
      <formula>"Distinction"</formula>
    </cfRule>
    <cfRule type="cellIs" dxfId="1222" priority="873" operator="equal">
      <formula>"Distinction"</formula>
    </cfRule>
  </conditionalFormatting>
  <conditionalFormatting sqref="S43">
    <cfRule type="cellIs" dxfId="1221" priority="871" operator="equal">
      <formula>"Merit"</formula>
    </cfRule>
  </conditionalFormatting>
  <conditionalFormatting sqref="S43">
    <cfRule type="cellIs" dxfId="1220" priority="870" operator="equal">
      <formula>"Pass"</formula>
    </cfRule>
  </conditionalFormatting>
  <conditionalFormatting sqref="S43">
    <cfRule type="cellIs" dxfId="1219" priority="869" operator="equal">
      <formula>"No Grade"</formula>
    </cfRule>
  </conditionalFormatting>
  <conditionalFormatting sqref="S43:S44">
    <cfRule type="cellIs" dxfId="1218" priority="868" operator="lessThan">
      <formula>25</formula>
    </cfRule>
  </conditionalFormatting>
  <conditionalFormatting sqref="S43">
    <cfRule type="cellIs" dxfId="1217" priority="866" operator="equal">
      <formula>"Distinction"</formula>
    </cfRule>
    <cfRule type="cellIs" dxfId="1216" priority="867" operator="equal">
      <formula>"Distinction"</formula>
    </cfRule>
  </conditionalFormatting>
  <conditionalFormatting sqref="S43">
    <cfRule type="cellIs" dxfId="1215" priority="865" operator="equal">
      <formula>"Merit"</formula>
    </cfRule>
  </conditionalFormatting>
  <conditionalFormatting sqref="S43">
    <cfRule type="cellIs" dxfId="1214" priority="864" operator="equal">
      <formula>"Pass"</formula>
    </cfRule>
  </conditionalFormatting>
  <conditionalFormatting sqref="S43">
    <cfRule type="cellIs" dxfId="1213" priority="863" operator="equal">
      <formula>"No Grade"</formula>
    </cfRule>
  </conditionalFormatting>
  <conditionalFormatting sqref="S43:S44">
    <cfRule type="cellIs" dxfId="1212" priority="862" operator="lessThan">
      <formula>25</formula>
    </cfRule>
  </conditionalFormatting>
  <conditionalFormatting sqref="S43">
    <cfRule type="cellIs" dxfId="1211" priority="860" operator="equal">
      <formula>"Distinction"</formula>
    </cfRule>
    <cfRule type="cellIs" dxfId="1210" priority="861" operator="equal">
      <formula>"Distinction"</formula>
    </cfRule>
  </conditionalFormatting>
  <conditionalFormatting sqref="S43">
    <cfRule type="cellIs" dxfId="1209" priority="859" operator="equal">
      <formula>"Merit"</formula>
    </cfRule>
  </conditionalFormatting>
  <conditionalFormatting sqref="S43">
    <cfRule type="cellIs" dxfId="1208" priority="858" operator="equal">
      <formula>"Pass"</formula>
    </cfRule>
  </conditionalFormatting>
  <conditionalFormatting sqref="S43">
    <cfRule type="cellIs" dxfId="1207" priority="857" operator="equal">
      <formula>"No Grade"</formula>
    </cfRule>
  </conditionalFormatting>
  <conditionalFormatting sqref="S43:S44">
    <cfRule type="cellIs" dxfId="1206" priority="855" operator="lessThan">
      <formula>25</formula>
    </cfRule>
    <cfRule type="cellIs" dxfId="1205" priority="856" operator="lessThan">
      <formula>25</formula>
    </cfRule>
  </conditionalFormatting>
  <conditionalFormatting sqref="S43">
    <cfRule type="cellIs" dxfId="1204" priority="853" operator="equal">
      <formula>"Distinction"</formula>
    </cfRule>
    <cfRule type="cellIs" dxfId="1203" priority="854" operator="equal">
      <formula>"Distinction"</formula>
    </cfRule>
  </conditionalFormatting>
  <conditionalFormatting sqref="S43">
    <cfRule type="cellIs" dxfId="1202" priority="852" operator="equal">
      <formula>"Merit"</formula>
    </cfRule>
  </conditionalFormatting>
  <conditionalFormatting sqref="S43">
    <cfRule type="cellIs" dxfId="1201" priority="851" operator="equal">
      <formula>"Pass"</formula>
    </cfRule>
  </conditionalFormatting>
  <conditionalFormatting sqref="S43">
    <cfRule type="cellIs" dxfId="1200" priority="850" operator="equal">
      <formula>"No Grade"</formula>
    </cfRule>
  </conditionalFormatting>
  <conditionalFormatting sqref="S43:S44">
    <cfRule type="cellIs" dxfId="1199" priority="849" operator="lessThan">
      <formula>25</formula>
    </cfRule>
  </conditionalFormatting>
  <conditionalFormatting sqref="S43">
    <cfRule type="cellIs" dxfId="1198" priority="847" operator="equal">
      <formula>"Distinction"</formula>
    </cfRule>
    <cfRule type="cellIs" dxfId="1197" priority="848" operator="equal">
      <formula>"Distinction"</formula>
    </cfRule>
  </conditionalFormatting>
  <conditionalFormatting sqref="S43">
    <cfRule type="cellIs" dxfId="1196" priority="846" operator="equal">
      <formula>"Merit"</formula>
    </cfRule>
  </conditionalFormatting>
  <conditionalFormatting sqref="S43">
    <cfRule type="cellIs" dxfId="1195" priority="845" operator="equal">
      <formula>"Pass"</formula>
    </cfRule>
  </conditionalFormatting>
  <conditionalFormatting sqref="S43">
    <cfRule type="cellIs" dxfId="1194" priority="844" operator="equal">
      <formula>"No Grade"</formula>
    </cfRule>
  </conditionalFormatting>
  <conditionalFormatting sqref="S43:S44">
    <cfRule type="cellIs" dxfId="1193" priority="843" operator="lessThan">
      <formula>25</formula>
    </cfRule>
  </conditionalFormatting>
  <conditionalFormatting sqref="S43">
    <cfRule type="cellIs" dxfId="1192" priority="841" operator="equal">
      <formula>"Distinction"</formula>
    </cfRule>
    <cfRule type="cellIs" dxfId="1191" priority="842" operator="equal">
      <formula>"Distinction"</formula>
    </cfRule>
  </conditionalFormatting>
  <conditionalFormatting sqref="S43">
    <cfRule type="cellIs" dxfId="1190" priority="840" operator="equal">
      <formula>"Merit"</formula>
    </cfRule>
  </conditionalFormatting>
  <conditionalFormatting sqref="S43">
    <cfRule type="cellIs" dxfId="1189" priority="839" operator="equal">
      <formula>"Pass"</formula>
    </cfRule>
  </conditionalFormatting>
  <conditionalFormatting sqref="S43">
    <cfRule type="cellIs" dxfId="1188" priority="838" operator="equal">
      <formula>"No Grade"</formula>
    </cfRule>
  </conditionalFormatting>
  <conditionalFormatting sqref="S43:S44">
    <cfRule type="cellIs" dxfId="1187" priority="837" operator="lessThan">
      <formula>25</formula>
    </cfRule>
  </conditionalFormatting>
  <conditionalFormatting sqref="S43">
    <cfRule type="cellIs" dxfId="1186" priority="835" operator="equal">
      <formula>"Distinction"</formula>
    </cfRule>
    <cfRule type="cellIs" dxfId="1185" priority="836" operator="equal">
      <formula>"Distinction"</formula>
    </cfRule>
  </conditionalFormatting>
  <conditionalFormatting sqref="S43">
    <cfRule type="cellIs" dxfId="1184" priority="834" operator="equal">
      <formula>"Merit"</formula>
    </cfRule>
  </conditionalFormatting>
  <conditionalFormatting sqref="S43">
    <cfRule type="cellIs" dxfId="1183" priority="833" operator="equal">
      <formula>"Pass"</formula>
    </cfRule>
  </conditionalFormatting>
  <conditionalFormatting sqref="S43">
    <cfRule type="cellIs" dxfId="1182" priority="832" operator="equal">
      <formula>"No Grade"</formula>
    </cfRule>
  </conditionalFormatting>
  <conditionalFormatting sqref="S43:S44">
    <cfRule type="cellIs" dxfId="1181" priority="831" operator="lessThan">
      <formula>25</formula>
    </cfRule>
  </conditionalFormatting>
  <conditionalFormatting sqref="S43">
    <cfRule type="cellIs" dxfId="1180" priority="829" operator="equal">
      <formula>"Distinction"</formula>
    </cfRule>
    <cfRule type="cellIs" dxfId="1179" priority="830" operator="equal">
      <formula>"Distinction"</formula>
    </cfRule>
  </conditionalFormatting>
  <conditionalFormatting sqref="S43">
    <cfRule type="cellIs" dxfId="1178" priority="828" operator="equal">
      <formula>"Merit"</formula>
    </cfRule>
  </conditionalFormatting>
  <conditionalFormatting sqref="S43">
    <cfRule type="cellIs" dxfId="1177" priority="827" operator="equal">
      <formula>"Pass"</formula>
    </cfRule>
  </conditionalFormatting>
  <conditionalFormatting sqref="S43">
    <cfRule type="cellIs" dxfId="1176" priority="826" operator="equal">
      <formula>"No Grade"</formula>
    </cfRule>
  </conditionalFormatting>
  <conditionalFormatting sqref="S43:S44">
    <cfRule type="cellIs" dxfId="1175" priority="825" operator="lessThan">
      <formula>25</formula>
    </cfRule>
  </conditionalFormatting>
  <conditionalFormatting sqref="S43">
    <cfRule type="cellIs" dxfId="1174" priority="823" operator="equal">
      <formula>"Distinction"</formula>
    </cfRule>
    <cfRule type="cellIs" dxfId="1173" priority="824" operator="equal">
      <formula>"Distinction"</formula>
    </cfRule>
  </conditionalFormatting>
  <conditionalFormatting sqref="S43">
    <cfRule type="cellIs" dxfId="1172" priority="822" operator="equal">
      <formula>"Merit"</formula>
    </cfRule>
  </conditionalFormatting>
  <conditionalFormatting sqref="S43">
    <cfRule type="cellIs" dxfId="1171" priority="821" operator="equal">
      <formula>"Pass"</formula>
    </cfRule>
  </conditionalFormatting>
  <conditionalFormatting sqref="S43">
    <cfRule type="cellIs" dxfId="1170" priority="820" operator="equal">
      <formula>"No Grade"</formula>
    </cfRule>
  </conditionalFormatting>
  <conditionalFormatting sqref="S43:S44">
    <cfRule type="cellIs" dxfId="1169" priority="819" operator="lessThan">
      <formula>25</formula>
    </cfRule>
  </conditionalFormatting>
  <conditionalFormatting sqref="S43">
    <cfRule type="cellIs" dxfId="1168" priority="817" operator="equal">
      <formula>"Distinction"</formula>
    </cfRule>
    <cfRule type="cellIs" dxfId="1167" priority="818" operator="equal">
      <formula>"Distinction"</formula>
    </cfRule>
  </conditionalFormatting>
  <conditionalFormatting sqref="S43">
    <cfRule type="cellIs" dxfId="1166" priority="816" operator="equal">
      <formula>"Merit"</formula>
    </cfRule>
  </conditionalFormatting>
  <conditionalFormatting sqref="S43">
    <cfRule type="cellIs" dxfId="1165" priority="815" operator="equal">
      <formula>"Pass"</formula>
    </cfRule>
  </conditionalFormatting>
  <conditionalFormatting sqref="S43">
    <cfRule type="cellIs" dxfId="1164" priority="814" operator="equal">
      <formula>"No Grade"</formula>
    </cfRule>
  </conditionalFormatting>
  <conditionalFormatting sqref="S43:S44">
    <cfRule type="cellIs" dxfId="1163" priority="812" operator="lessThan">
      <formula>25</formula>
    </cfRule>
    <cfRule type="cellIs" dxfId="1162" priority="813" operator="lessThan">
      <formula>25</formula>
    </cfRule>
  </conditionalFormatting>
  <conditionalFormatting sqref="M31">
    <cfRule type="cellIs" dxfId="1161" priority="809" operator="equal">
      <formula>"Distinction"</formula>
    </cfRule>
    <cfRule type="cellIs" dxfId="1160" priority="810" operator="equal">
      <formula>"Distinction"</formula>
    </cfRule>
  </conditionalFormatting>
  <conditionalFormatting sqref="M31">
    <cfRule type="cellIs" dxfId="1159" priority="808" operator="equal">
      <formula>"Merit"</formula>
    </cfRule>
  </conditionalFormatting>
  <conditionalFormatting sqref="M31">
    <cfRule type="cellIs" dxfId="1158" priority="807" operator="equal">
      <formula>"Pass"</formula>
    </cfRule>
  </conditionalFormatting>
  <conditionalFormatting sqref="M31">
    <cfRule type="cellIs" dxfId="1157" priority="806" operator="equal">
      <formula>"No Grade"</formula>
    </cfRule>
  </conditionalFormatting>
  <conditionalFormatting sqref="M31:M32">
    <cfRule type="cellIs" dxfId="1156" priority="803" operator="lessThan">
      <formula>25</formula>
    </cfRule>
    <cfRule type="cellIs" dxfId="1155" priority="804" operator="lessThan">
      <formula>25</formula>
    </cfRule>
    <cfRule type="cellIs" dxfId="1154" priority="805" operator="lessThan">
      <formula>25</formula>
    </cfRule>
  </conditionalFormatting>
  <conditionalFormatting sqref="P31">
    <cfRule type="cellIs" dxfId="1153" priority="801" operator="equal">
      <formula>"Distinction"</formula>
    </cfRule>
    <cfRule type="cellIs" dxfId="1152" priority="802" operator="equal">
      <formula>"Distinction"</formula>
    </cfRule>
  </conditionalFormatting>
  <conditionalFormatting sqref="P31">
    <cfRule type="cellIs" dxfId="1151" priority="800" operator="equal">
      <formula>"Merit"</formula>
    </cfRule>
  </conditionalFormatting>
  <conditionalFormatting sqref="P31">
    <cfRule type="cellIs" dxfId="1150" priority="799" operator="equal">
      <formula>"Pass"</formula>
    </cfRule>
  </conditionalFormatting>
  <conditionalFormatting sqref="P31">
    <cfRule type="cellIs" dxfId="1149" priority="798" operator="equal">
      <formula>"No Grade"</formula>
    </cfRule>
  </conditionalFormatting>
  <conditionalFormatting sqref="P31:P32">
    <cfRule type="cellIs" dxfId="1148" priority="797" operator="lessThan">
      <formula>25</formula>
    </cfRule>
  </conditionalFormatting>
  <conditionalFormatting sqref="P31">
    <cfRule type="cellIs" dxfId="1147" priority="795" operator="equal">
      <formula>"Distinction"</formula>
    </cfRule>
    <cfRule type="cellIs" dxfId="1146" priority="796" operator="equal">
      <formula>"Distinction"</formula>
    </cfRule>
  </conditionalFormatting>
  <conditionalFormatting sqref="P31">
    <cfRule type="cellIs" dxfId="1145" priority="794" operator="equal">
      <formula>"Merit"</formula>
    </cfRule>
  </conditionalFormatting>
  <conditionalFormatting sqref="P31">
    <cfRule type="cellIs" dxfId="1144" priority="793" operator="equal">
      <formula>"Pass"</formula>
    </cfRule>
  </conditionalFormatting>
  <conditionalFormatting sqref="P31">
    <cfRule type="cellIs" dxfId="1143" priority="792" operator="equal">
      <formula>"No Grade"</formula>
    </cfRule>
  </conditionalFormatting>
  <conditionalFormatting sqref="P31:P32">
    <cfRule type="cellIs" dxfId="1142" priority="790" operator="lessThan">
      <formula>25</formula>
    </cfRule>
    <cfRule type="cellIs" dxfId="1141" priority="791" operator="lessThan">
      <formula>25</formula>
    </cfRule>
  </conditionalFormatting>
  <conditionalFormatting sqref="P31">
    <cfRule type="cellIs" dxfId="1140" priority="788" operator="equal">
      <formula>"Distinction"</formula>
    </cfRule>
    <cfRule type="cellIs" dxfId="1139" priority="789" operator="equal">
      <formula>"Distinction"</formula>
    </cfRule>
  </conditionalFormatting>
  <conditionalFormatting sqref="P31">
    <cfRule type="cellIs" dxfId="1138" priority="787" operator="equal">
      <formula>"Merit"</formula>
    </cfRule>
  </conditionalFormatting>
  <conditionalFormatting sqref="P31">
    <cfRule type="cellIs" dxfId="1137" priority="786" operator="equal">
      <formula>"Pass"</formula>
    </cfRule>
  </conditionalFormatting>
  <conditionalFormatting sqref="P31">
    <cfRule type="cellIs" dxfId="1136" priority="785" operator="equal">
      <formula>"No Grade"</formula>
    </cfRule>
  </conditionalFormatting>
  <conditionalFormatting sqref="P31:P32">
    <cfRule type="cellIs" dxfId="1135" priority="782" operator="lessThan">
      <formula>25</formula>
    </cfRule>
    <cfRule type="cellIs" dxfId="1134" priority="783" operator="lessThan">
      <formula>25</formula>
    </cfRule>
    <cfRule type="cellIs" dxfId="1133" priority="784" operator="lessThan">
      <formula>25</formula>
    </cfRule>
  </conditionalFormatting>
  <conditionalFormatting sqref="S31">
    <cfRule type="cellIs" dxfId="1132" priority="780" operator="equal">
      <formula>"Distinction"</formula>
    </cfRule>
    <cfRule type="cellIs" dxfId="1131" priority="781" operator="equal">
      <formula>"Distinction"</formula>
    </cfRule>
  </conditionalFormatting>
  <conditionalFormatting sqref="S31">
    <cfRule type="cellIs" dxfId="1130" priority="779" operator="equal">
      <formula>"Merit"</formula>
    </cfRule>
  </conditionalFormatting>
  <conditionalFormatting sqref="S31">
    <cfRule type="cellIs" dxfId="1129" priority="778" operator="equal">
      <formula>"Pass"</formula>
    </cfRule>
  </conditionalFormatting>
  <conditionalFormatting sqref="S31">
    <cfRule type="cellIs" dxfId="1128" priority="777" operator="equal">
      <formula>"No Grade"</formula>
    </cfRule>
  </conditionalFormatting>
  <conditionalFormatting sqref="S31:S32">
    <cfRule type="cellIs" dxfId="1127" priority="776" operator="lessThan">
      <formula>25</formula>
    </cfRule>
  </conditionalFormatting>
  <conditionalFormatting sqref="S31">
    <cfRule type="cellIs" dxfId="1126" priority="774" operator="equal">
      <formula>"Distinction"</formula>
    </cfRule>
    <cfRule type="cellIs" dxfId="1125" priority="775" operator="equal">
      <formula>"Distinction"</formula>
    </cfRule>
  </conditionalFormatting>
  <conditionalFormatting sqref="S31">
    <cfRule type="cellIs" dxfId="1124" priority="773" operator="equal">
      <formula>"Merit"</formula>
    </cfRule>
  </conditionalFormatting>
  <conditionalFormatting sqref="S31">
    <cfRule type="cellIs" dxfId="1123" priority="772" operator="equal">
      <formula>"Pass"</formula>
    </cfRule>
  </conditionalFormatting>
  <conditionalFormatting sqref="S31">
    <cfRule type="cellIs" dxfId="1122" priority="771" operator="equal">
      <formula>"No Grade"</formula>
    </cfRule>
  </conditionalFormatting>
  <conditionalFormatting sqref="S31:S32">
    <cfRule type="cellIs" dxfId="1121" priority="770" operator="lessThan">
      <formula>25</formula>
    </cfRule>
  </conditionalFormatting>
  <conditionalFormatting sqref="S31">
    <cfRule type="cellIs" dxfId="1120" priority="768" operator="equal">
      <formula>"Distinction"</formula>
    </cfRule>
    <cfRule type="cellIs" dxfId="1119" priority="769" operator="equal">
      <formula>"Distinction"</formula>
    </cfRule>
  </conditionalFormatting>
  <conditionalFormatting sqref="S31">
    <cfRule type="cellIs" dxfId="1118" priority="767" operator="equal">
      <formula>"Merit"</formula>
    </cfRule>
  </conditionalFormatting>
  <conditionalFormatting sqref="S31">
    <cfRule type="cellIs" dxfId="1117" priority="766" operator="equal">
      <formula>"Pass"</formula>
    </cfRule>
  </conditionalFormatting>
  <conditionalFormatting sqref="S31">
    <cfRule type="cellIs" dxfId="1116" priority="765" operator="equal">
      <formula>"No Grade"</formula>
    </cfRule>
  </conditionalFormatting>
  <conditionalFormatting sqref="S31:S32">
    <cfRule type="cellIs" dxfId="1115" priority="763" operator="lessThan">
      <formula>25</formula>
    </cfRule>
    <cfRule type="cellIs" dxfId="1114" priority="764" operator="lessThan">
      <formula>25</formula>
    </cfRule>
  </conditionalFormatting>
  <conditionalFormatting sqref="S31">
    <cfRule type="cellIs" dxfId="1113" priority="761" operator="equal">
      <formula>"Distinction"</formula>
    </cfRule>
    <cfRule type="cellIs" dxfId="1112" priority="762" operator="equal">
      <formula>"Distinction"</formula>
    </cfRule>
  </conditionalFormatting>
  <conditionalFormatting sqref="S31">
    <cfRule type="cellIs" dxfId="1111" priority="760" operator="equal">
      <formula>"Merit"</formula>
    </cfRule>
  </conditionalFormatting>
  <conditionalFormatting sqref="S31">
    <cfRule type="cellIs" dxfId="1110" priority="759" operator="equal">
      <formula>"Pass"</formula>
    </cfRule>
  </conditionalFormatting>
  <conditionalFormatting sqref="S31">
    <cfRule type="cellIs" dxfId="1109" priority="758" operator="equal">
      <formula>"No Grade"</formula>
    </cfRule>
  </conditionalFormatting>
  <conditionalFormatting sqref="S31:S32">
    <cfRule type="cellIs" dxfId="1108" priority="757" operator="lessThan">
      <formula>25</formula>
    </cfRule>
  </conditionalFormatting>
  <conditionalFormatting sqref="S31">
    <cfRule type="cellIs" dxfId="1107" priority="755" operator="equal">
      <formula>"Distinction"</formula>
    </cfRule>
    <cfRule type="cellIs" dxfId="1106" priority="756" operator="equal">
      <formula>"Distinction"</formula>
    </cfRule>
  </conditionalFormatting>
  <conditionalFormatting sqref="S31">
    <cfRule type="cellIs" dxfId="1105" priority="754" operator="equal">
      <formula>"Merit"</formula>
    </cfRule>
  </conditionalFormatting>
  <conditionalFormatting sqref="S31">
    <cfRule type="cellIs" dxfId="1104" priority="753" operator="equal">
      <formula>"Pass"</formula>
    </cfRule>
  </conditionalFormatting>
  <conditionalFormatting sqref="S31">
    <cfRule type="cellIs" dxfId="1103" priority="752" operator="equal">
      <formula>"No Grade"</formula>
    </cfRule>
  </conditionalFormatting>
  <conditionalFormatting sqref="S31:S32">
    <cfRule type="cellIs" dxfId="1102" priority="750" operator="lessThan">
      <formula>25</formula>
    </cfRule>
    <cfRule type="cellIs" dxfId="1101" priority="751" operator="lessThan">
      <formula>25</formula>
    </cfRule>
  </conditionalFormatting>
  <conditionalFormatting sqref="S31">
    <cfRule type="cellIs" dxfId="1100" priority="748" operator="equal">
      <formula>"Distinction"</formula>
    </cfRule>
    <cfRule type="cellIs" dxfId="1099" priority="749" operator="equal">
      <formula>"Distinction"</formula>
    </cfRule>
  </conditionalFormatting>
  <conditionalFormatting sqref="S31">
    <cfRule type="cellIs" dxfId="1098" priority="747" operator="equal">
      <formula>"Merit"</formula>
    </cfRule>
  </conditionalFormatting>
  <conditionalFormatting sqref="S31">
    <cfRule type="cellIs" dxfId="1097" priority="746" operator="equal">
      <formula>"Pass"</formula>
    </cfRule>
  </conditionalFormatting>
  <conditionalFormatting sqref="S31">
    <cfRule type="cellIs" dxfId="1096" priority="745" operator="equal">
      <formula>"No Grade"</formula>
    </cfRule>
  </conditionalFormatting>
  <conditionalFormatting sqref="S31:S32">
    <cfRule type="cellIs" dxfId="1095" priority="742" operator="lessThan">
      <formula>25</formula>
    </cfRule>
    <cfRule type="cellIs" dxfId="1094" priority="743" operator="lessThan">
      <formula>25</formula>
    </cfRule>
    <cfRule type="cellIs" dxfId="1093" priority="744" operator="lessThan">
      <formula>25</formula>
    </cfRule>
  </conditionalFormatting>
  <conditionalFormatting sqref="J43">
    <cfRule type="cellIs" dxfId="1092" priority="740" operator="equal">
      <formula>"Distinction"</formula>
    </cfRule>
    <cfRule type="cellIs" dxfId="1091" priority="741" operator="equal">
      <formula>"Distinction"</formula>
    </cfRule>
  </conditionalFormatting>
  <conditionalFormatting sqref="J43">
    <cfRule type="cellIs" dxfId="1090" priority="739" operator="equal">
      <formula>"Merit"</formula>
    </cfRule>
  </conditionalFormatting>
  <conditionalFormatting sqref="J43">
    <cfRule type="cellIs" dxfId="1089" priority="738" operator="equal">
      <formula>"Pass"</formula>
    </cfRule>
  </conditionalFormatting>
  <conditionalFormatting sqref="J43">
    <cfRule type="cellIs" dxfId="1088" priority="737" operator="equal">
      <formula>"No Grade"</formula>
    </cfRule>
  </conditionalFormatting>
  <conditionalFormatting sqref="J43:J44">
    <cfRule type="cellIs" dxfId="1087" priority="736" operator="lessThan">
      <formula>25</formula>
    </cfRule>
  </conditionalFormatting>
  <conditionalFormatting sqref="J43">
    <cfRule type="cellIs" dxfId="1086" priority="734" operator="equal">
      <formula>"Distinction"</formula>
    </cfRule>
    <cfRule type="cellIs" dxfId="1085" priority="735" operator="equal">
      <formula>"Distinction"</formula>
    </cfRule>
  </conditionalFormatting>
  <conditionalFormatting sqref="J43">
    <cfRule type="cellIs" dxfId="1084" priority="733" operator="equal">
      <formula>"Merit"</formula>
    </cfRule>
  </conditionalFormatting>
  <conditionalFormatting sqref="J43">
    <cfRule type="cellIs" dxfId="1083" priority="732" operator="equal">
      <formula>"Pass"</formula>
    </cfRule>
  </conditionalFormatting>
  <conditionalFormatting sqref="J43">
    <cfRule type="cellIs" dxfId="1082" priority="731" operator="equal">
      <formula>"No Grade"</formula>
    </cfRule>
  </conditionalFormatting>
  <conditionalFormatting sqref="J43:J44">
    <cfRule type="cellIs" dxfId="1081" priority="730" operator="lessThan">
      <formula>25</formula>
    </cfRule>
  </conditionalFormatting>
  <conditionalFormatting sqref="J43">
    <cfRule type="cellIs" dxfId="1080" priority="728" operator="equal">
      <formula>"Distinction"</formula>
    </cfRule>
    <cfRule type="cellIs" dxfId="1079" priority="729" operator="equal">
      <formula>"Distinction"</formula>
    </cfRule>
  </conditionalFormatting>
  <conditionalFormatting sqref="J43">
    <cfRule type="cellIs" dxfId="1078" priority="727" operator="equal">
      <formula>"Merit"</formula>
    </cfRule>
  </conditionalFormatting>
  <conditionalFormatting sqref="J43">
    <cfRule type="cellIs" dxfId="1077" priority="726" operator="equal">
      <formula>"Pass"</formula>
    </cfRule>
  </conditionalFormatting>
  <conditionalFormatting sqref="J43">
    <cfRule type="cellIs" dxfId="1076" priority="725" operator="equal">
      <formula>"No Grade"</formula>
    </cfRule>
  </conditionalFormatting>
  <conditionalFormatting sqref="J43:J44">
    <cfRule type="cellIs" dxfId="1075" priority="724" operator="lessThan">
      <formula>25</formula>
    </cfRule>
  </conditionalFormatting>
  <conditionalFormatting sqref="J43">
    <cfRule type="cellIs" dxfId="1074" priority="722" operator="equal">
      <formula>"Distinction"</formula>
    </cfRule>
    <cfRule type="cellIs" dxfId="1073" priority="723" operator="equal">
      <formula>"Distinction"</formula>
    </cfRule>
  </conditionalFormatting>
  <conditionalFormatting sqref="J43">
    <cfRule type="cellIs" dxfId="1072" priority="721" operator="equal">
      <formula>"Merit"</formula>
    </cfRule>
  </conditionalFormatting>
  <conditionalFormatting sqref="J43">
    <cfRule type="cellIs" dxfId="1071" priority="720" operator="equal">
      <formula>"Pass"</formula>
    </cfRule>
  </conditionalFormatting>
  <conditionalFormatting sqref="J43">
    <cfRule type="cellIs" dxfId="1070" priority="719" operator="equal">
      <formula>"No Grade"</formula>
    </cfRule>
  </conditionalFormatting>
  <conditionalFormatting sqref="J43:J44">
    <cfRule type="cellIs" dxfId="1069" priority="717" operator="lessThan">
      <formula>25</formula>
    </cfRule>
    <cfRule type="cellIs" dxfId="1068" priority="718" operator="lessThan">
      <formula>25</formula>
    </cfRule>
  </conditionalFormatting>
  <conditionalFormatting sqref="J43">
    <cfRule type="cellIs" dxfId="1067" priority="715" operator="equal">
      <formula>"Distinction"</formula>
    </cfRule>
    <cfRule type="cellIs" dxfId="1066" priority="716" operator="equal">
      <formula>"Distinction"</formula>
    </cfRule>
  </conditionalFormatting>
  <conditionalFormatting sqref="J43">
    <cfRule type="cellIs" dxfId="1065" priority="714" operator="equal">
      <formula>"Merit"</formula>
    </cfRule>
  </conditionalFormatting>
  <conditionalFormatting sqref="J43">
    <cfRule type="cellIs" dxfId="1064" priority="713" operator="equal">
      <formula>"Pass"</formula>
    </cfRule>
  </conditionalFormatting>
  <conditionalFormatting sqref="J43">
    <cfRule type="cellIs" dxfId="1063" priority="712" operator="equal">
      <formula>"No Grade"</formula>
    </cfRule>
  </conditionalFormatting>
  <conditionalFormatting sqref="J43:J44">
    <cfRule type="cellIs" dxfId="1062" priority="711" operator="lessThan">
      <formula>25</formula>
    </cfRule>
  </conditionalFormatting>
  <conditionalFormatting sqref="J43">
    <cfRule type="cellIs" dxfId="1061" priority="709" operator="equal">
      <formula>"Distinction"</formula>
    </cfRule>
    <cfRule type="cellIs" dxfId="1060" priority="710" operator="equal">
      <formula>"Distinction"</formula>
    </cfRule>
  </conditionalFormatting>
  <conditionalFormatting sqref="J43">
    <cfRule type="cellIs" dxfId="1059" priority="708" operator="equal">
      <formula>"Merit"</formula>
    </cfRule>
  </conditionalFormatting>
  <conditionalFormatting sqref="J43">
    <cfRule type="cellIs" dxfId="1058" priority="707" operator="equal">
      <formula>"Pass"</formula>
    </cfRule>
  </conditionalFormatting>
  <conditionalFormatting sqref="J43">
    <cfRule type="cellIs" dxfId="1057" priority="706" operator="equal">
      <formula>"No Grade"</formula>
    </cfRule>
  </conditionalFormatting>
  <conditionalFormatting sqref="J43:J44">
    <cfRule type="cellIs" dxfId="1056" priority="705" operator="lessThan">
      <formula>25</formula>
    </cfRule>
  </conditionalFormatting>
  <conditionalFormatting sqref="J43">
    <cfRule type="cellIs" dxfId="1055" priority="703" operator="equal">
      <formula>"Distinction"</formula>
    </cfRule>
    <cfRule type="cellIs" dxfId="1054" priority="704" operator="equal">
      <formula>"Distinction"</formula>
    </cfRule>
  </conditionalFormatting>
  <conditionalFormatting sqref="J43">
    <cfRule type="cellIs" dxfId="1053" priority="702" operator="equal">
      <formula>"Merit"</formula>
    </cfRule>
  </conditionalFormatting>
  <conditionalFormatting sqref="J43">
    <cfRule type="cellIs" dxfId="1052" priority="701" operator="equal">
      <formula>"Pass"</formula>
    </cfRule>
  </conditionalFormatting>
  <conditionalFormatting sqref="J43">
    <cfRule type="cellIs" dxfId="1051" priority="700" operator="equal">
      <formula>"No Grade"</formula>
    </cfRule>
  </conditionalFormatting>
  <conditionalFormatting sqref="J43:J44">
    <cfRule type="cellIs" dxfId="1050" priority="698" operator="lessThan">
      <formula>25</formula>
    </cfRule>
    <cfRule type="cellIs" dxfId="1049" priority="699" operator="lessThan">
      <formula>25</formula>
    </cfRule>
  </conditionalFormatting>
  <conditionalFormatting sqref="J43">
    <cfRule type="cellIs" dxfId="1048" priority="696" operator="equal">
      <formula>"Distinction"</formula>
    </cfRule>
    <cfRule type="cellIs" dxfId="1047" priority="697" operator="equal">
      <formula>"Distinction"</formula>
    </cfRule>
  </conditionalFormatting>
  <conditionalFormatting sqref="J43">
    <cfRule type="cellIs" dxfId="1046" priority="695" operator="equal">
      <formula>"Merit"</formula>
    </cfRule>
  </conditionalFormatting>
  <conditionalFormatting sqref="J43">
    <cfRule type="cellIs" dxfId="1045" priority="694" operator="equal">
      <formula>"Pass"</formula>
    </cfRule>
  </conditionalFormatting>
  <conditionalFormatting sqref="J43">
    <cfRule type="cellIs" dxfId="1044" priority="693" operator="equal">
      <formula>"No Grade"</formula>
    </cfRule>
  </conditionalFormatting>
  <conditionalFormatting sqref="J43:J44">
    <cfRule type="cellIs" dxfId="1043" priority="692" operator="lessThan">
      <formula>25</formula>
    </cfRule>
  </conditionalFormatting>
  <conditionalFormatting sqref="J43">
    <cfRule type="cellIs" dxfId="1042" priority="690" operator="equal">
      <formula>"Distinction"</formula>
    </cfRule>
    <cfRule type="cellIs" dxfId="1041" priority="691" operator="equal">
      <formula>"Distinction"</formula>
    </cfRule>
  </conditionalFormatting>
  <conditionalFormatting sqref="J43">
    <cfRule type="cellIs" dxfId="1040" priority="689" operator="equal">
      <formula>"Merit"</formula>
    </cfRule>
  </conditionalFormatting>
  <conditionalFormatting sqref="J43">
    <cfRule type="cellIs" dxfId="1039" priority="688" operator="equal">
      <formula>"Pass"</formula>
    </cfRule>
  </conditionalFormatting>
  <conditionalFormatting sqref="J43">
    <cfRule type="cellIs" dxfId="1038" priority="687" operator="equal">
      <formula>"No Grade"</formula>
    </cfRule>
  </conditionalFormatting>
  <conditionalFormatting sqref="J43:J44">
    <cfRule type="cellIs" dxfId="1037" priority="685" operator="lessThan">
      <formula>25</formula>
    </cfRule>
    <cfRule type="cellIs" dxfId="1036" priority="686" operator="lessThan">
      <formula>25</formula>
    </cfRule>
  </conditionalFormatting>
  <conditionalFormatting sqref="J43">
    <cfRule type="cellIs" dxfId="1035" priority="683" operator="equal">
      <formula>"Distinction"</formula>
    </cfRule>
    <cfRule type="cellIs" dxfId="1034" priority="684" operator="equal">
      <formula>"Distinction"</formula>
    </cfRule>
  </conditionalFormatting>
  <conditionalFormatting sqref="J43">
    <cfRule type="cellIs" dxfId="1033" priority="682" operator="equal">
      <formula>"Merit"</formula>
    </cfRule>
  </conditionalFormatting>
  <conditionalFormatting sqref="J43">
    <cfRule type="cellIs" dxfId="1032" priority="681" operator="equal">
      <formula>"Pass"</formula>
    </cfRule>
  </conditionalFormatting>
  <conditionalFormatting sqref="J43">
    <cfRule type="cellIs" dxfId="1031" priority="680" operator="equal">
      <formula>"No Grade"</formula>
    </cfRule>
  </conditionalFormatting>
  <conditionalFormatting sqref="J43:J44">
    <cfRule type="cellIs" dxfId="1030" priority="677" operator="lessThan">
      <formula>25</formula>
    </cfRule>
    <cfRule type="cellIs" dxfId="1029" priority="678" operator="lessThan">
      <formula>25</formula>
    </cfRule>
    <cfRule type="cellIs" dxfId="1028" priority="679" operator="lessThan">
      <formula>25</formula>
    </cfRule>
  </conditionalFormatting>
  <conditionalFormatting sqref="M43">
    <cfRule type="cellIs" dxfId="1027" priority="675" operator="equal">
      <formula>"Distinction"</formula>
    </cfRule>
    <cfRule type="cellIs" dxfId="1026" priority="676" operator="equal">
      <formula>"Distinction"</formula>
    </cfRule>
  </conditionalFormatting>
  <conditionalFormatting sqref="M43">
    <cfRule type="cellIs" dxfId="1025" priority="674" operator="equal">
      <formula>"Merit"</formula>
    </cfRule>
  </conditionalFormatting>
  <conditionalFormatting sqref="M43">
    <cfRule type="cellIs" dxfId="1024" priority="673" operator="equal">
      <formula>"Pass"</formula>
    </cfRule>
  </conditionalFormatting>
  <conditionalFormatting sqref="M43">
    <cfRule type="cellIs" dxfId="1023" priority="672" operator="equal">
      <formula>"No Grade"</formula>
    </cfRule>
  </conditionalFormatting>
  <conditionalFormatting sqref="M43:M44">
    <cfRule type="cellIs" dxfId="1022" priority="671" operator="lessThan">
      <formula>25</formula>
    </cfRule>
  </conditionalFormatting>
  <conditionalFormatting sqref="M43">
    <cfRule type="cellIs" dxfId="1021" priority="669" operator="equal">
      <formula>"Distinction"</formula>
    </cfRule>
    <cfRule type="cellIs" dxfId="1020" priority="670" operator="equal">
      <formula>"Distinction"</formula>
    </cfRule>
  </conditionalFormatting>
  <conditionalFormatting sqref="M43">
    <cfRule type="cellIs" dxfId="1019" priority="668" operator="equal">
      <formula>"Merit"</formula>
    </cfRule>
  </conditionalFormatting>
  <conditionalFormatting sqref="M43">
    <cfRule type="cellIs" dxfId="1018" priority="667" operator="equal">
      <formula>"Pass"</formula>
    </cfRule>
  </conditionalFormatting>
  <conditionalFormatting sqref="M43">
    <cfRule type="cellIs" dxfId="1017" priority="666" operator="equal">
      <formula>"No Grade"</formula>
    </cfRule>
  </conditionalFormatting>
  <conditionalFormatting sqref="M43:M44">
    <cfRule type="cellIs" dxfId="1016" priority="665" operator="lessThan">
      <formula>25</formula>
    </cfRule>
  </conditionalFormatting>
  <conditionalFormatting sqref="M43">
    <cfRule type="cellIs" dxfId="1015" priority="663" operator="equal">
      <formula>"Distinction"</formula>
    </cfRule>
    <cfRule type="cellIs" dxfId="1014" priority="664" operator="equal">
      <formula>"Distinction"</formula>
    </cfRule>
  </conditionalFormatting>
  <conditionalFormatting sqref="M43">
    <cfRule type="cellIs" dxfId="1013" priority="662" operator="equal">
      <formula>"Merit"</formula>
    </cfRule>
  </conditionalFormatting>
  <conditionalFormatting sqref="M43">
    <cfRule type="cellIs" dxfId="1012" priority="661" operator="equal">
      <formula>"Pass"</formula>
    </cfRule>
  </conditionalFormatting>
  <conditionalFormatting sqref="M43">
    <cfRule type="cellIs" dxfId="1011" priority="660" operator="equal">
      <formula>"No Grade"</formula>
    </cfRule>
  </conditionalFormatting>
  <conditionalFormatting sqref="M43:M44">
    <cfRule type="cellIs" dxfId="1010" priority="659" operator="lessThan">
      <formula>25</formula>
    </cfRule>
  </conditionalFormatting>
  <conditionalFormatting sqref="M43">
    <cfRule type="cellIs" dxfId="1009" priority="657" operator="equal">
      <formula>"Distinction"</formula>
    </cfRule>
    <cfRule type="cellIs" dxfId="1008" priority="658" operator="equal">
      <formula>"Distinction"</formula>
    </cfRule>
  </conditionalFormatting>
  <conditionalFormatting sqref="M43">
    <cfRule type="cellIs" dxfId="1007" priority="656" operator="equal">
      <formula>"Merit"</formula>
    </cfRule>
  </conditionalFormatting>
  <conditionalFormatting sqref="M43">
    <cfRule type="cellIs" dxfId="1006" priority="655" operator="equal">
      <formula>"Pass"</formula>
    </cfRule>
  </conditionalFormatting>
  <conditionalFormatting sqref="M43">
    <cfRule type="cellIs" dxfId="1005" priority="654" operator="equal">
      <formula>"No Grade"</formula>
    </cfRule>
  </conditionalFormatting>
  <conditionalFormatting sqref="M43:M44">
    <cfRule type="cellIs" dxfId="1004" priority="653" operator="lessThan">
      <formula>25</formula>
    </cfRule>
  </conditionalFormatting>
  <conditionalFormatting sqref="M43">
    <cfRule type="cellIs" dxfId="1003" priority="651" operator="equal">
      <formula>"Distinction"</formula>
    </cfRule>
    <cfRule type="cellIs" dxfId="1002" priority="652" operator="equal">
      <formula>"Distinction"</formula>
    </cfRule>
  </conditionalFormatting>
  <conditionalFormatting sqref="M43">
    <cfRule type="cellIs" dxfId="1001" priority="650" operator="equal">
      <formula>"Merit"</formula>
    </cfRule>
  </conditionalFormatting>
  <conditionalFormatting sqref="M43">
    <cfRule type="cellIs" dxfId="1000" priority="649" operator="equal">
      <formula>"Pass"</formula>
    </cfRule>
  </conditionalFormatting>
  <conditionalFormatting sqref="M43">
    <cfRule type="cellIs" dxfId="999" priority="648" operator="equal">
      <formula>"No Grade"</formula>
    </cfRule>
  </conditionalFormatting>
  <conditionalFormatting sqref="M43:M44">
    <cfRule type="cellIs" dxfId="998" priority="646" operator="lessThan">
      <formula>25</formula>
    </cfRule>
    <cfRule type="cellIs" dxfId="997" priority="647" operator="lessThan">
      <formula>25</formula>
    </cfRule>
  </conditionalFormatting>
  <conditionalFormatting sqref="M43">
    <cfRule type="cellIs" dxfId="996" priority="644" operator="equal">
      <formula>"Distinction"</formula>
    </cfRule>
    <cfRule type="cellIs" dxfId="995" priority="645" operator="equal">
      <formula>"Distinction"</formula>
    </cfRule>
  </conditionalFormatting>
  <conditionalFormatting sqref="M43">
    <cfRule type="cellIs" dxfId="994" priority="643" operator="equal">
      <formula>"Merit"</formula>
    </cfRule>
  </conditionalFormatting>
  <conditionalFormatting sqref="M43">
    <cfRule type="cellIs" dxfId="993" priority="642" operator="equal">
      <formula>"Pass"</formula>
    </cfRule>
  </conditionalFormatting>
  <conditionalFormatting sqref="M43">
    <cfRule type="cellIs" dxfId="992" priority="641" operator="equal">
      <formula>"No Grade"</formula>
    </cfRule>
  </conditionalFormatting>
  <conditionalFormatting sqref="M43:M44">
    <cfRule type="cellIs" dxfId="991" priority="640" operator="lessThan">
      <formula>25</formula>
    </cfRule>
  </conditionalFormatting>
  <conditionalFormatting sqref="M43">
    <cfRule type="cellIs" dxfId="990" priority="638" operator="equal">
      <formula>"Distinction"</formula>
    </cfRule>
    <cfRule type="cellIs" dxfId="989" priority="639" operator="equal">
      <formula>"Distinction"</formula>
    </cfRule>
  </conditionalFormatting>
  <conditionalFormatting sqref="M43">
    <cfRule type="cellIs" dxfId="988" priority="637" operator="equal">
      <formula>"Merit"</formula>
    </cfRule>
  </conditionalFormatting>
  <conditionalFormatting sqref="M43">
    <cfRule type="cellIs" dxfId="987" priority="636" operator="equal">
      <formula>"Pass"</formula>
    </cfRule>
  </conditionalFormatting>
  <conditionalFormatting sqref="M43">
    <cfRule type="cellIs" dxfId="986" priority="635" operator="equal">
      <formula>"No Grade"</formula>
    </cfRule>
  </conditionalFormatting>
  <conditionalFormatting sqref="M43:M44">
    <cfRule type="cellIs" dxfId="985" priority="634" operator="lessThan">
      <formula>25</formula>
    </cfRule>
  </conditionalFormatting>
  <conditionalFormatting sqref="M43">
    <cfRule type="cellIs" dxfId="984" priority="632" operator="equal">
      <formula>"Distinction"</formula>
    </cfRule>
    <cfRule type="cellIs" dxfId="983" priority="633" operator="equal">
      <formula>"Distinction"</formula>
    </cfRule>
  </conditionalFormatting>
  <conditionalFormatting sqref="M43">
    <cfRule type="cellIs" dxfId="982" priority="631" operator="equal">
      <formula>"Merit"</formula>
    </cfRule>
  </conditionalFormatting>
  <conditionalFormatting sqref="M43">
    <cfRule type="cellIs" dxfId="981" priority="630" operator="equal">
      <formula>"Pass"</formula>
    </cfRule>
  </conditionalFormatting>
  <conditionalFormatting sqref="M43">
    <cfRule type="cellIs" dxfId="980" priority="629" operator="equal">
      <formula>"No Grade"</formula>
    </cfRule>
  </conditionalFormatting>
  <conditionalFormatting sqref="M43:M44">
    <cfRule type="cellIs" dxfId="979" priority="628" operator="lessThan">
      <formula>25</formula>
    </cfRule>
  </conditionalFormatting>
  <conditionalFormatting sqref="M43">
    <cfRule type="cellIs" dxfId="978" priority="626" operator="equal">
      <formula>"Distinction"</formula>
    </cfRule>
    <cfRule type="cellIs" dxfId="977" priority="627" operator="equal">
      <formula>"Distinction"</formula>
    </cfRule>
  </conditionalFormatting>
  <conditionalFormatting sqref="M43">
    <cfRule type="cellIs" dxfId="976" priority="625" operator="equal">
      <formula>"Merit"</formula>
    </cfRule>
  </conditionalFormatting>
  <conditionalFormatting sqref="M43">
    <cfRule type="cellIs" dxfId="975" priority="624" operator="equal">
      <formula>"Pass"</formula>
    </cfRule>
  </conditionalFormatting>
  <conditionalFormatting sqref="M43">
    <cfRule type="cellIs" dxfId="974" priority="623" operator="equal">
      <formula>"No Grade"</formula>
    </cfRule>
  </conditionalFormatting>
  <conditionalFormatting sqref="M43:M44">
    <cfRule type="cellIs" dxfId="973" priority="621" operator="lessThan">
      <formula>25</formula>
    </cfRule>
    <cfRule type="cellIs" dxfId="972" priority="622" operator="lessThan">
      <formula>25</formula>
    </cfRule>
  </conditionalFormatting>
  <conditionalFormatting sqref="M43">
    <cfRule type="cellIs" dxfId="971" priority="619" operator="equal">
      <formula>"Distinction"</formula>
    </cfRule>
    <cfRule type="cellIs" dxfId="970" priority="620" operator="equal">
      <formula>"Distinction"</formula>
    </cfRule>
  </conditionalFormatting>
  <conditionalFormatting sqref="M43">
    <cfRule type="cellIs" dxfId="969" priority="618" operator="equal">
      <formula>"Merit"</formula>
    </cfRule>
  </conditionalFormatting>
  <conditionalFormatting sqref="M43">
    <cfRule type="cellIs" dxfId="968" priority="617" operator="equal">
      <formula>"Pass"</formula>
    </cfRule>
  </conditionalFormatting>
  <conditionalFormatting sqref="M43">
    <cfRule type="cellIs" dxfId="967" priority="616" operator="equal">
      <formula>"No Grade"</formula>
    </cfRule>
  </conditionalFormatting>
  <conditionalFormatting sqref="M43:M44">
    <cfRule type="cellIs" dxfId="966" priority="615" operator="lessThan">
      <formula>25</formula>
    </cfRule>
  </conditionalFormatting>
  <conditionalFormatting sqref="M43">
    <cfRule type="cellIs" dxfId="965" priority="613" operator="equal">
      <formula>"Distinction"</formula>
    </cfRule>
    <cfRule type="cellIs" dxfId="964" priority="614" operator="equal">
      <formula>"Distinction"</formula>
    </cfRule>
  </conditionalFormatting>
  <conditionalFormatting sqref="M43">
    <cfRule type="cellIs" dxfId="963" priority="612" operator="equal">
      <formula>"Merit"</formula>
    </cfRule>
  </conditionalFormatting>
  <conditionalFormatting sqref="M43">
    <cfRule type="cellIs" dxfId="962" priority="611" operator="equal">
      <formula>"Pass"</formula>
    </cfRule>
  </conditionalFormatting>
  <conditionalFormatting sqref="M43">
    <cfRule type="cellIs" dxfId="961" priority="610" operator="equal">
      <formula>"No Grade"</formula>
    </cfRule>
  </conditionalFormatting>
  <conditionalFormatting sqref="M43:M44">
    <cfRule type="cellIs" dxfId="960" priority="609" operator="lessThan">
      <formula>25</formula>
    </cfRule>
  </conditionalFormatting>
  <conditionalFormatting sqref="M43">
    <cfRule type="cellIs" dxfId="959" priority="607" operator="equal">
      <formula>"Distinction"</formula>
    </cfRule>
    <cfRule type="cellIs" dxfId="958" priority="608" operator="equal">
      <formula>"Distinction"</formula>
    </cfRule>
  </conditionalFormatting>
  <conditionalFormatting sqref="M43">
    <cfRule type="cellIs" dxfId="957" priority="606" operator="equal">
      <formula>"Merit"</formula>
    </cfRule>
  </conditionalFormatting>
  <conditionalFormatting sqref="M43">
    <cfRule type="cellIs" dxfId="956" priority="605" operator="equal">
      <formula>"Pass"</formula>
    </cfRule>
  </conditionalFormatting>
  <conditionalFormatting sqref="M43">
    <cfRule type="cellIs" dxfId="955" priority="604" operator="equal">
      <formula>"No Grade"</formula>
    </cfRule>
  </conditionalFormatting>
  <conditionalFormatting sqref="M43:M44">
    <cfRule type="cellIs" dxfId="954" priority="602" operator="lessThan">
      <formula>25</formula>
    </cfRule>
    <cfRule type="cellIs" dxfId="953" priority="603" operator="lessThan">
      <formula>25</formula>
    </cfRule>
  </conditionalFormatting>
  <conditionalFormatting sqref="M43">
    <cfRule type="cellIs" dxfId="952" priority="600" operator="equal">
      <formula>"Distinction"</formula>
    </cfRule>
    <cfRule type="cellIs" dxfId="951" priority="601" operator="equal">
      <formula>"Distinction"</formula>
    </cfRule>
  </conditionalFormatting>
  <conditionalFormatting sqref="M43">
    <cfRule type="cellIs" dxfId="950" priority="599" operator="equal">
      <formula>"Merit"</formula>
    </cfRule>
  </conditionalFormatting>
  <conditionalFormatting sqref="M43">
    <cfRule type="cellIs" dxfId="949" priority="598" operator="equal">
      <formula>"Pass"</formula>
    </cfRule>
  </conditionalFormatting>
  <conditionalFormatting sqref="M43">
    <cfRule type="cellIs" dxfId="948" priority="597" operator="equal">
      <formula>"No Grade"</formula>
    </cfRule>
  </conditionalFormatting>
  <conditionalFormatting sqref="M43:M44">
    <cfRule type="cellIs" dxfId="947" priority="596" operator="lessThan">
      <formula>25</formula>
    </cfRule>
  </conditionalFormatting>
  <conditionalFormatting sqref="M43">
    <cfRule type="cellIs" dxfId="946" priority="594" operator="equal">
      <formula>"Distinction"</formula>
    </cfRule>
    <cfRule type="cellIs" dxfId="945" priority="595" operator="equal">
      <formula>"Distinction"</formula>
    </cfRule>
  </conditionalFormatting>
  <conditionalFormatting sqref="M43">
    <cfRule type="cellIs" dxfId="944" priority="593" operator="equal">
      <formula>"Merit"</formula>
    </cfRule>
  </conditionalFormatting>
  <conditionalFormatting sqref="M43">
    <cfRule type="cellIs" dxfId="943" priority="592" operator="equal">
      <formula>"Pass"</formula>
    </cfRule>
  </conditionalFormatting>
  <conditionalFormatting sqref="M43">
    <cfRule type="cellIs" dxfId="942" priority="591" operator="equal">
      <formula>"No Grade"</formula>
    </cfRule>
  </conditionalFormatting>
  <conditionalFormatting sqref="M43:M44">
    <cfRule type="cellIs" dxfId="941" priority="589" operator="lessThan">
      <formula>25</formula>
    </cfRule>
    <cfRule type="cellIs" dxfId="940" priority="590" operator="lessThan">
      <formula>25</formula>
    </cfRule>
  </conditionalFormatting>
  <conditionalFormatting sqref="M43">
    <cfRule type="cellIs" dxfId="939" priority="587" operator="equal">
      <formula>"Distinction"</formula>
    </cfRule>
    <cfRule type="cellIs" dxfId="938" priority="588" operator="equal">
      <formula>"Distinction"</formula>
    </cfRule>
  </conditionalFormatting>
  <conditionalFormatting sqref="M43">
    <cfRule type="cellIs" dxfId="937" priority="586" operator="equal">
      <formula>"Merit"</formula>
    </cfRule>
  </conditionalFormatting>
  <conditionalFormatting sqref="M43">
    <cfRule type="cellIs" dxfId="936" priority="585" operator="equal">
      <formula>"Pass"</formula>
    </cfRule>
  </conditionalFormatting>
  <conditionalFormatting sqref="M43">
    <cfRule type="cellIs" dxfId="935" priority="584" operator="equal">
      <formula>"No Grade"</formula>
    </cfRule>
  </conditionalFormatting>
  <conditionalFormatting sqref="M43:M44">
    <cfRule type="cellIs" dxfId="934" priority="581" operator="lessThan">
      <formula>25</formula>
    </cfRule>
    <cfRule type="cellIs" dxfId="933" priority="582" operator="lessThan">
      <formula>25</formula>
    </cfRule>
    <cfRule type="cellIs" dxfId="932" priority="583" operator="lessThan">
      <formula>25</formula>
    </cfRule>
  </conditionalFormatting>
  <conditionalFormatting sqref="P43">
    <cfRule type="cellIs" dxfId="931" priority="579" operator="equal">
      <formula>"Distinction"</formula>
    </cfRule>
    <cfRule type="cellIs" dxfId="930" priority="580" operator="equal">
      <formula>"Distinction"</formula>
    </cfRule>
  </conditionalFormatting>
  <conditionalFormatting sqref="P43">
    <cfRule type="cellIs" dxfId="929" priority="578" operator="equal">
      <formula>"Merit"</formula>
    </cfRule>
  </conditionalFormatting>
  <conditionalFormatting sqref="P43">
    <cfRule type="cellIs" dxfId="928" priority="577" operator="equal">
      <formula>"Pass"</formula>
    </cfRule>
  </conditionalFormatting>
  <conditionalFormatting sqref="P43">
    <cfRule type="cellIs" dxfId="927" priority="576" operator="equal">
      <formula>"No Grade"</formula>
    </cfRule>
  </conditionalFormatting>
  <conditionalFormatting sqref="P43:P44">
    <cfRule type="cellIs" dxfId="926" priority="575" operator="lessThan">
      <formula>25</formula>
    </cfRule>
  </conditionalFormatting>
  <conditionalFormatting sqref="P43">
    <cfRule type="cellIs" dxfId="925" priority="573" operator="equal">
      <formula>"Distinction"</formula>
    </cfRule>
    <cfRule type="cellIs" dxfId="924" priority="574" operator="equal">
      <formula>"Distinction"</formula>
    </cfRule>
  </conditionalFormatting>
  <conditionalFormatting sqref="P43">
    <cfRule type="cellIs" dxfId="923" priority="572" operator="equal">
      <formula>"Merit"</formula>
    </cfRule>
  </conditionalFormatting>
  <conditionalFormatting sqref="P43">
    <cfRule type="cellIs" dxfId="922" priority="571" operator="equal">
      <formula>"Pass"</formula>
    </cfRule>
  </conditionalFormatting>
  <conditionalFormatting sqref="P43">
    <cfRule type="cellIs" dxfId="921" priority="570" operator="equal">
      <formula>"No Grade"</formula>
    </cfRule>
  </conditionalFormatting>
  <conditionalFormatting sqref="P43:P44">
    <cfRule type="cellIs" dxfId="920" priority="569" operator="lessThan">
      <formula>25</formula>
    </cfRule>
  </conditionalFormatting>
  <conditionalFormatting sqref="P43">
    <cfRule type="cellIs" dxfId="919" priority="567" operator="equal">
      <formula>"Distinction"</formula>
    </cfRule>
    <cfRule type="cellIs" dxfId="918" priority="568" operator="equal">
      <formula>"Distinction"</formula>
    </cfRule>
  </conditionalFormatting>
  <conditionalFormatting sqref="P43">
    <cfRule type="cellIs" dxfId="917" priority="566" operator="equal">
      <formula>"Merit"</formula>
    </cfRule>
  </conditionalFormatting>
  <conditionalFormatting sqref="P43">
    <cfRule type="cellIs" dxfId="916" priority="565" operator="equal">
      <formula>"Pass"</formula>
    </cfRule>
  </conditionalFormatting>
  <conditionalFormatting sqref="P43">
    <cfRule type="cellIs" dxfId="915" priority="564" operator="equal">
      <formula>"No Grade"</formula>
    </cfRule>
  </conditionalFormatting>
  <conditionalFormatting sqref="P43:P44">
    <cfRule type="cellIs" dxfId="914" priority="563" operator="lessThan">
      <formula>25</formula>
    </cfRule>
  </conditionalFormatting>
  <conditionalFormatting sqref="P43">
    <cfRule type="cellIs" dxfId="913" priority="561" operator="equal">
      <formula>"Distinction"</formula>
    </cfRule>
    <cfRule type="cellIs" dxfId="912" priority="562" operator="equal">
      <formula>"Distinction"</formula>
    </cfRule>
  </conditionalFormatting>
  <conditionalFormatting sqref="P43">
    <cfRule type="cellIs" dxfId="911" priority="560" operator="equal">
      <formula>"Merit"</formula>
    </cfRule>
  </conditionalFormatting>
  <conditionalFormatting sqref="P43">
    <cfRule type="cellIs" dxfId="910" priority="559" operator="equal">
      <formula>"Pass"</formula>
    </cfRule>
  </conditionalFormatting>
  <conditionalFormatting sqref="P43">
    <cfRule type="cellIs" dxfId="909" priority="558" operator="equal">
      <formula>"No Grade"</formula>
    </cfRule>
  </conditionalFormatting>
  <conditionalFormatting sqref="P43:P44">
    <cfRule type="cellIs" dxfId="908" priority="557" operator="lessThan">
      <formula>25</formula>
    </cfRule>
  </conditionalFormatting>
  <conditionalFormatting sqref="P43">
    <cfRule type="cellIs" dxfId="907" priority="555" operator="equal">
      <formula>"Distinction"</formula>
    </cfRule>
    <cfRule type="cellIs" dxfId="906" priority="556" operator="equal">
      <formula>"Distinction"</formula>
    </cfRule>
  </conditionalFormatting>
  <conditionalFormatting sqref="P43">
    <cfRule type="cellIs" dxfId="905" priority="554" operator="equal">
      <formula>"Merit"</formula>
    </cfRule>
  </conditionalFormatting>
  <conditionalFormatting sqref="P43">
    <cfRule type="cellIs" dxfId="904" priority="553" operator="equal">
      <formula>"Pass"</formula>
    </cfRule>
  </conditionalFormatting>
  <conditionalFormatting sqref="P43">
    <cfRule type="cellIs" dxfId="903" priority="552" operator="equal">
      <formula>"No Grade"</formula>
    </cfRule>
  </conditionalFormatting>
  <conditionalFormatting sqref="P43:P44">
    <cfRule type="cellIs" dxfId="902" priority="551" operator="lessThan">
      <formula>25</formula>
    </cfRule>
  </conditionalFormatting>
  <conditionalFormatting sqref="P43">
    <cfRule type="cellIs" dxfId="901" priority="549" operator="equal">
      <formula>"Distinction"</formula>
    </cfRule>
    <cfRule type="cellIs" dxfId="900" priority="550" operator="equal">
      <formula>"Distinction"</formula>
    </cfRule>
  </conditionalFormatting>
  <conditionalFormatting sqref="P43">
    <cfRule type="cellIs" dxfId="899" priority="548" operator="equal">
      <formula>"Merit"</formula>
    </cfRule>
  </conditionalFormatting>
  <conditionalFormatting sqref="P43">
    <cfRule type="cellIs" dxfId="898" priority="547" operator="equal">
      <formula>"Pass"</formula>
    </cfRule>
  </conditionalFormatting>
  <conditionalFormatting sqref="P43">
    <cfRule type="cellIs" dxfId="897" priority="546" operator="equal">
      <formula>"No Grade"</formula>
    </cfRule>
  </conditionalFormatting>
  <conditionalFormatting sqref="P43:P44">
    <cfRule type="cellIs" dxfId="896" priority="544" operator="lessThan">
      <formula>25</formula>
    </cfRule>
    <cfRule type="cellIs" dxfId="895" priority="545" operator="lessThan">
      <formula>25</formula>
    </cfRule>
  </conditionalFormatting>
  <conditionalFormatting sqref="P43">
    <cfRule type="cellIs" dxfId="894" priority="542" operator="equal">
      <formula>"Distinction"</formula>
    </cfRule>
    <cfRule type="cellIs" dxfId="893" priority="543" operator="equal">
      <formula>"Distinction"</formula>
    </cfRule>
  </conditionalFormatting>
  <conditionalFormatting sqref="P43">
    <cfRule type="cellIs" dxfId="892" priority="541" operator="equal">
      <formula>"Merit"</formula>
    </cfRule>
  </conditionalFormatting>
  <conditionalFormatting sqref="P43">
    <cfRule type="cellIs" dxfId="891" priority="540" operator="equal">
      <formula>"Pass"</formula>
    </cfRule>
  </conditionalFormatting>
  <conditionalFormatting sqref="P43">
    <cfRule type="cellIs" dxfId="890" priority="539" operator="equal">
      <formula>"No Grade"</formula>
    </cfRule>
  </conditionalFormatting>
  <conditionalFormatting sqref="P43:P44">
    <cfRule type="cellIs" dxfId="889" priority="538" operator="lessThan">
      <formula>25</formula>
    </cfRule>
  </conditionalFormatting>
  <conditionalFormatting sqref="P43">
    <cfRule type="cellIs" dxfId="888" priority="536" operator="equal">
      <formula>"Distinction"</formula>
    </cfRule>
    <cfRule type="cellIs" dxfId="887" priority="537" operator="equal">
      <formula>"Distinction"</formula>
    </cfRule>
  </conditionalFormatting>
  <conditionalFormatting sqref="P43">
    <cfRule type="cellIs" dxfId="886" priority="535" operator="equal">
      <formula>"Merit"</formula>
    </cfRule>
  </conditionalFormatting>
  <conditionalFormatting sqref="P43">
    <cfRule type="cellIs" dxfId="885" priority="534" operator="equal">
      <formula>"Pass"</formula>
    </cfRule>
  </conditionalFormatting>
  <conditionalFormatting sqref="P43">
    <cfRule type="cellIs" dxfId="884" priority="533" operator="equal">
      <formula>"No Grade"</formula>
    </cfRule>
  </conditionalFormatting>
  <conditionalFormatting sqref="P43:P44">
    <cfRule type="cellIs" dxfId="883" priority="532" operator="lessThan">
      <formula>25</formula>
    </cfRule>
  </conditionalFormatting>
  <conditionalFormatting sqref="P43">
    <cfRule type="cellIs" dxfId="882" priority="530" operator="equal">
      <formula>"Distinction"</formula>
    </cfRule>
    <cfRule type="cellIs" dxfId="881" priority="531" operator="equal">
      <formula>"Distinction"</formula>
    </cfRule>
  </conditionalFormatting>
  <conditionalFormatting sqref="P43">
    <cfRule type="cellIs" dxfId="880" priority="529" operator="equal">
      <formula>"Merit"</formula>
    </cfRule>
  </conditionalFormatting>
  <conditionalFormatting sqref="P43">
    <cfRule type="cellIs" dxfId="879" priority="528" operator="equal">
      <formula>"Pass"</formula>
    </cfRule>
  </conditionalFormatting>
  <conditionalFormatting sqref="P43">
    <cfRule type="cellIs" dxfId="878" priority="527" operator="equal">
      <formula>"No Grade"</formula>
    </cfRule>
  </conditionalFormatting>
  <conditionalFormatting sqref="P43:P44">
    <cfRule type="cellIs" dxfId="877" priority="526" operator="lessThan">
      <formula>25</formula>
    </cfRule>
  </conditionalFormatting>
  <conditionalFormatting sqref="P43">
    <cfRule type="cellIs" dxfId="876" priority="524" operator="equal">
      <formula>"Distinction"</formula>
    </cfRule>
    <cfRule type="cellIs" dxfId="875" priority="525" operator="equal">
      <formula>"Distinction"</formula>
    </cfRule>
  </conditionalFormatting>
  <conditionalFormatting sqref="P43">
    <cfRule type="cellIs" dxfId="874" priority="523" operator="equal">
      <formula>"Merit"</formula>
    </cfRule>
  </conditionalFormatting>
  <conditionalFormatting sqref="P43">
    <cfRule type="cellIs" dxfId="873" priority="522" operator="equal">
      <formula>"Pass"</formula>
    </cfRule>
  </conditionalFormatting>
  <conditionalFormatting sqref="P43">
    <cfRule type="cellIs" dxfId="872" priority="521" operator="equal">
      <formula>"No Grade"</formula>
    </cfRule>
  </conditionalFormatting>
  <conditionalFormatting sqref="P43:P44">
    <cfRule type="cellIs" dxfId="871" priority="520" operator="lessThan">
      <formula>25</formula>
    </cfRule>
  </conditionalFormatting>
  <conditionalFormatting sqref="P43">
    <cfRule type="cellIs" dxfId="870" priority="518" operator="equal">
      <formula>"Distinction"</formula>
    </cfRule>
    <cfRule type="cellIs" dxfId="869" priority="519" operator="equal">
      <formula>"Distinction"</formula>
    </cfRule>
  </conditionalFormatting>
  <conditionalFormatting sqref="P43">
    <cfRule type="cellIs" dxfId="868" priority="517" operator="equal">
      <formula>"Merit"</formula>
    </cfRule>
  </conditionalFormatting>
  <conditionalFormatting sqref="P43">
    <cfRule type="cellIs" dxfId="867" priority="516" operator="equal">
      <formula>"Pass"</formula>
    </cfRule>
  </conditionalFormatting>
  <conditionalFormatting sqref="P43">
    <cfRule type="cellIs" dxfId="866" priority="515" operator="equal">
      <formula>"No Grade"</formula>
    </cfRule>
  </conditionalFormatting>
  <conditionalFormatting sqref="P43:P44">
    <cfRule type="cellIs" dxfId="865" priority="513" operator="lessThan">
      <formula>25</formula>
    </cfRule>
    <cfRule type="cellIs" dxfId="864" priority="514" operator="lessThan">
      <formula>25</formula>
    </cfRule>
  </conditionalFormatting>
  <conditionalFormatting sqref="P43">
    <cfRule type="cellIs" dxfId="863" priority="511" operator="equal">
      <formula>"Distinction"</formula>
    </cfRule>
    <cfRule type="cellIs" dxfId="862" priority="512" operator="equal">
      <formula>"Distinction"</formula>
    </cfRule>
  </conditionalFormatting>
  <conditionalFormatting sqref="P43">
    <cfRule type="cellIs" dxfId="861" priority="510" operator="equal">
      <formula>"Merit"</formula>
    </cfRule>
  </conditionalFormatting>
  <conditionalFormatting sqref="P43">
    <cfRule type="cellIs" dxfId="860" priority="509" operator="equal">
      <formula>"Pass"</formula>
    </cfRule>
  </conditionalFormatting>
  <conditionalFormatting sqref="P43">
    <cfRule type="cellIs" dxfId="859" priority="508" operator="equal">
      <formula>"No Grade"</formula>
    </cfRule>
  </conditionalFormatting>
  <conditionalFormatting sqref="P43:P44">
    <cfRule type="cellIs" dxfId="858" priority="507" operator="lessThan">
      <formula>25</formula>
    </cfRule>
  </conditionalFormatting>
  <conditionalFormatting sqref="P43">
    <cfRule type="cellIs" dxfId="857" priority="505" operator="equal">
      <formula>"Distinction"</formula>
    </cfRule>
    <cfRule type="cellIs" dxfId="856" priority="506" operator="equal">
      <formula>"Distinction"</formula>
    </cfRule>
  </conditionalFormatting>
  <conditionalFormatting sqref="P43">
    <cfRule type="cellIs" dxfId="855" priority="504" operator="equal">
      <formula>"Merit"</formula>
    </cfRule>
  </conditionalFormatting>
  <conditionalFormatting sqref="P43">
    <cfRule type="cellIs" dxfId="854" priority="503" operator="equal">
      <formula>"Pass"</formula>
    </cfRule>
  </conditionalFormatting>
  <conditionalFormatting sqref="P43">
    <cfRule type="cellIs" dxfId="853" priority="502" operator="equal">
      <formula>"No Grade"</formula>
    </cfRule>
  </conditionalFormatting>
  <conditionalFormatting sqref="P43:P44">
    <cfRule type="cellIs" dxfId="852" priority="501" operator="lessThan">
      <formula>25</formula>
    </cfRule>
  </conditionalFormatting>
  <conditionalFormatting sqref="P43">
    <cfRule type="cellIs" dxfId="851" priority="499" operator="equal">
      <formula>"Distinction"</formula>
    </cfRule>
    <cfRule type="cellIs" dxfId="850" priority="500" operator="equal">
      <formula>"Distinction"</formula>
    </cfRule>
  </conditionalFormatting>
  <conditionalFormatting sqref="P43">
    <cfRule type="cellIs" dxfId="849" priority="498" operator="equal">
      <formula>"Merit"</formula>
    </cfRule>
  </conditionalFormatting>
  <conditionalFormatting sqref="P43">
    <cfRule type="cellIs" dxfId="848" priority="497" operator="equal">
      <formula>"Pass"</formula>
    </cfRule>
  </conditionalFormatting>
  <conditionalFormatting sqref="P43">
    <cfRule type="cellIs" dxfId="847" priority="496" operator="equal">
      <formula>"No Grade"</formula>
    </cfRule>
  </conditionalFormatting>
  <conditionalFormatting sqref="P43:P44">
    <cfRule type="cellIs" dxfId="846" priority="495" operator="lessThan">
      <formula>25</formula>
    </cfRule>
  </conditionalFormatting>
  <conditionalFormatting sqref="P43">
    <cfRule type="cellIs" dxfId="845" priority="493" operator="equal">
      <formula>"Distinction"</formula>
    </cfRule>
    <cfRule type="cellIs" dxfId="844" priority="494" operator="equal">
      <formula>"Distinction"</formula>
    </cfRule>
  </conditionalFormatting>
  <conditionalFormatting sqref="P43">
    <cfRule type="cellIs" dxfId="843" priority="492" operator="equal">
      <formula>"Merit"</formula>
    </cfRule>
  </conditionalFormatting>
  <conditionalFormatting sqref="P43">
    <cfRule type="cellIs" dxfId="842" priority="491" operator="equal">
      <formula>"Pass"</formula>
    </cfRule>
  </conditionalFormatting>
  <conditionalFormatting sqref="P43">
    <cfRule type="cellIs" dxfId="841" priority="490" operator="equal">
      <formula>"No Grade"</formula>
    </cfRule>
  </conditionalFormatting>
  <conditionalFormatting sqref="P43:P44">
    <cfRule type="cellIs" dxfId="840" priority="488" operator="lessThan">
      <formula>25</formula>
    </cfRule>
    <cfRule type="cellIs" dxfId="839" priority="489" operator="lessThan">
      <formula>25</formula>
    </cfRule>
  </conditionalFormatting>
  <conditionalFormatting sqref="P43">
    <cfRule type="cellIs" dxfId="838" priority="486" operator="equal">
      <formula>"Distinction"</formula>
    </cfRule>
    <cfRule type="cellIs" dxfId="837" priority="487" operator="equal">
      <formula>"Distinction"</formula>
    </cfRule>
  </conditionalFormatting>
  <conditionalFormatting sqref="P43">
    <cfRule type="cellIs" dxfId="836" priority="485" operator="equal">
      <formula>"Merit"</formula>
    </cfRule>
  </conditionalFormatting>
  <conditionalFormatting sqref="P43">
    <cfRule type="cellIs" dxfId="835" priority="484" operator="equal">
      <formula>"Pass"</formula>
    </cfRule>
  </conditionalFormatting>
  <conditionalFormatting sqref="P43">
    <cfRule type="cellIs" dxfId="834" priority="483" operator="equal">
      <formula>"No Grade"</formula>
    </cfRule>
  </conditionalFormatting>
  <conditionalFormatting sqref="P43:P44">
    <cfRule type="cellIs" dxfId="833" priority="482" operator="lessThan">
      <formula>25</formula>
    </cfRule>
  </conditionalFormatting>
  <conditionalFormatting sqref="P43">
    <cfRule type="cellIs" dxfId="832" priority="480" operator="equal">
      <formula>"Distinction"</formula>
    </cfRule>
    <cfRule type="cellIs" dxfId="831" priority="481" operator="equal">
      <formula>"Distinction"</formula>
    </cfRule>
  </conditionalFormatting>
  <conditionalFormatting sqref="P43">
    <cfRule type="cellIs" dxfId="830" priority="479" operator="equal">
      <formula>"Merit"</formula>
    </cfRule>
  </conditionalFormatting>
  <conditionalFormatting sqref="P43">
    <cfRule type="cellIs" dxfId="829" priority="478" operator="equal">
      <formula>"Pass"</formula>
    </cfRule>
  </conditionalFormatting>
  <conditionalFormatting sqref="P43">
    <cfRule type="cellIs" dxfId="828" priority="477" operator="equal">
      <formula>"No Grade"</formula>
    </cfRule>
  </conditionalFormatting>
  <conditionalFormatting sqref="P43:P44">
    <cfRule type="cellIs" dxfId="827" priority="476" operator="lessThan">
      <formula>25</formula>
    </cfRule>
  </conditionalFormatting>
  <conditionalFormatting sqref="P43">
    <cfRule type="cellIs" dxfId="826" priority="474" operator="equal">
      <formula>"Distinction"</formula>
    </cfRule>
    <cfRule type="cellIs" dxfId="825" priority="475" operator="equal">
      <formula>"Distinction"</formula>
    </cfRule>
  </conditionalFormatting>
  <conditionalFormatting sqref="P43">
    <cfRule type="cellIs" dxfId="824" priority="473" operator="equal">
      <formula>"Merit"</formula>
    </cfRule>
  </conditionalFormatting>
  <conditionalFormatting sqref="P43">
    <cfRule type="cellIs" dxfId="823" priority="472" operator="equal">
      <formula>"Pass"</formula>
    </cfRule>
  </conditionalFormatting>
  <conditionalFormatting sqref="P43">
    <cfRule type="cellIs" dxfId="822" priority="471" operator="equal">
      <formula>"No Grade"</formula>
    </cfRule>
  </conditionalFormatting>
  <conditionalFormatting sqref="P43:P44">
    <cfRule type="cellIs" dxfId="821" priority="469" operator="lessThan">
      <formula>25</formula>
    </cfRule>
    <cfRule type="cellIs" dxfId="820" priority="470" operator="lessThan">
      <formula>25</formula>
    </cfRule>
  </conditionalFormatting>
  <conditionalFormatting sqref="P43">
    <cfRule type="cellIs" dxfId="819" priority="467" operator="equal">
      <formula>"Distinction"</formula>
    </cfRule>
    <cfRule type="cellIs" dxfId="818" priority="468" operator="equal">
      <formula>"Distinction"</formula>
    </cfRule>
  </conditionalFormatting>
  <conditionalFormatting sqref="P43">
    <cfRule type="cellIs" dxfId="817" priority="466" operator="equal">
      <formula>"Merit"</formula>
    </cfRule>
  </conditionalFormatting>
  <conditionalFormatting sqref="P43">
    <cfRule type="cellIs" dxfId="816" priority="465" operator="equal">
      <formula>"Pass"</formula>
    </cfRule>
  </conditionalFormatting>
  <conditionalFormatting sqref="P43">
    <cfRule type="cellIs" dxfId="815" priority="464" operator="equal">
      <formula>"No Grade"</formula>
    </cfRule>
  </conditionalFormatting>
  <conditionalFormatting sqref="P43:P44">
    <cfRule type="cellIs" dxfId="814" priority="463" operator="lessThan">
      <formula>25</formula>
    </cfRule>
  </conditionalFormatting>
  <conditionalFormatting sqref="P43">
    <cfRule type="cellIs" dxfId="813" priority="461" operator="equal">
      <formula>"Distinction"</formula>
    </cfRule>
    <cfRule type="cellIs" dxfId="812" priority="462" operator="equal">
      <formula>"Distinction"</formula>
    </cfRule>
  </conditionalFormatting>
  <conditionalFormatting sqref="P43">
    <cfRule type="cellIs" dxfId="811" priority="460" operator="equal">
      <formula>"Merit"</formula>
    </cfRule>
  </conditionalFormatting>
  <conditionalFormatting sqref="P43">
    <cfRule type="cellIs" dxfId="810" priority="459" operator="equal">
      <formula>"Pass"</formula>
    </cfRule>
  </conditionalFormatting>
  <conditionalFormatting sqref="P43">
    <cfRule type="cellIs" dxfId="809" priority="458" operator="equal">
      <formula>"No Grade"</formula>
    </cfRule>
  </conditionalFormatting>
  <conditionalFormatting sqref="P43:P44">
    <cfRule type="cellIs" dxfId="808" priority="456" operator="lessThan">
      <formula>25</formula>
    </cfRule>
    <cfRule type="cellIs" dxfId="807" priority="457" operator="lessThan">
      <formula>25</formula>
    </cfRule>
  </conditionalFormatting>
  <conditionalFormatting sqref="P43">
    <cfRule type="cellIs" dxfId="806" priority="454" operator="equal">
      <formula>"Distinction"</formula>
    </cfRule>
    <cfRule type="cellIs" dxfId="805" priority="455" operator="equal">
      <formula>"Distinction"</formula>
    </cfRule>
  </conditionalFormatting>
  <conditionalFormatting sqref="P43">
    <cfRule type="cellIs" dxfId="804" priority="453" operator="equal">
      <formula>"Merit"</formula>
    </cfRule>
  </conditionalFormatting>
  <conditionalFormatting sqref="P43">
    <cfRule type="cellIs" dxfId="803" priority="452" operator="equal">
      <formula>"Pass"</formula>
    </cfRule>
  </conditionalFormatting>
  <conditionalFormatting sqref="P43">
    <cfRule type="cellIs" dxfId="802" priority="451" operator="equal">
      <formula>"No Grade"</formula>
    </cfRule>
  </conditionalFormatting>
  <conditionalFormatting sqref="P43:P44">
    <cfRule type="cellIs" dxfId="801" priority="448" operator="lessThan">
      <formula>25</formula>
    </cfRule>
    <cfRule type="cellIs" dxfId="800" priority="449" operator="lessThan">
      <formula>25</formula>
    </cfRule>
    <cfRule type="cellIs" dxfId="799" priority="450" operator="lessThan">
      <formula>25</formula>
    </cfRule>
  </conditionalFormatting>
  <conditionalFormatting sqref="S43">
    <cfRule type="cellIs" dxfId="798" priority="446" operator="equal">
      <formula>"Distinction"</formula>
    </cfRule>
    <cfRule type="cellIs" dxfId="797" priority="447" operator="equal">
      <formula>"Distinction"</formula>
    </cfRule>
  </conditionalFormatting>
  <conditionalFormatting sqref="S43">
    <cfRule type="cellIs" dxfId="796" priority="445" operator="equal">
      <formula>"Merit"</formula>
    </cfRule>
  </conditionalFormatting>
  <conditionalFormatting sqref="S43">
    <cfRule type="cellIs" dxfId="795" priority="444" operator="equal">
      <formula>"Pass"</formula>
    </cfRule>
  </conditionalFormatting>
  <conditionalFormatting sqref="S43">
    <cfRule type="cellIs" dxfId="794" priority="443" operator="equal">
      <formula>"No Grade"</formula>
    </cfRule>
  </conditionalFormatting>
  <conditionalFormatting sqref="S43:S44">
    <cfRule type="cellIs" dxfId="793" priority="442" operator="lessThan">
      <formula>25</formula>
    </cfRule>
  </conditionalFormatting>
  <conditionalFormatting sqref="S43">
    <cfRule type="cellIs" dxfId="792" priority="440" operator="equal">
      <formula>"Distinction"</formula>
    </cfRule>
    <cfRule type="cellIs" dxfId="791" priority="441" operator="equal">
      <formula>"Distinction"</formula>
    </cfRule>
  </conditionalFormatting>
  <conditionalFormatting sqref="S43">
    <cfRule type="cellIs" dxfId="790" priority="439" operator="equal">
      <formula>"Merit"</formula>
    </cfRule>
  </conditionalFormatting>
  <conditionalFormatting sqref="S43">
    <cfRule type="cellIs" dxfId="789" priority="438" operator="equal">
      <formula>"Pass"</formula>
    </cfRule>
  </conditionalFormatting>
  <conditionalFormatting sqref="S43">
    <cfRule type="cellIs" dxfId="788" priority="437" operator="equal">
      <formula>"No Grade"</formula>
    </cfRule>
  </conditionalFormatting>
  <conditionalFormatting sqref="S43:S44">
    <cfRule type="cellIs" dxfId="787" priority="436" operator="lessThan">
      <formula>25</formula>
    </cfRule>
  </conditionalFormatting>
  <conditionalFormatting sqref="S43">
    <cfRule type="cellIs" dxfId="786" priority="434" operator="equal">
      <formula>"Distinction"</formula>
    </cfRule>
    <cfRule type="cellIs" dxfId="785" priority="435" operator="equal">
      <formula>"Distinction"</formula>
    </cfRule>
  </conditionalFormatting>
  <conditionalFormatting sqref="S43">
    <cfRule type="cellIs" dxfId="784" priority="433" operator="equal">
      <formula>"Merit"</formula>
    </cfRule>
  </conditionalFormatting>
  <conditionalFormatting sqref="S43">
    <cfRule type="cellIs" dxfId="783" priority="432" operator="equal">
      <formula>"Pass"</formula>
    </cfRule>
  </conditionalFormatting>
  <conditionalFormatting sqref="S43">
    <cfRule type="cellIs" dxfId="782" priority="431" operator="equal">
      <formula>"No Grade"</formula>
    </cfRule>
  </conditionalFormatting>
  <conditionalFormatting sqref="S43:S44">
    <cfRule type="cellIs" dxfId="781" priority="430" operator="lessThan">
      <formula>25</formula>
    </cfRule>
  </conditionalFormatting>
  <conditionalFormatting sqref="S43">
    <cfRule type="cellIs" dxfId="780" priority="428" operator="equal">
      <formula>"Distinction"</formula>
    </cfRule>
    <cfRule type="cellIs" dxfId="779" priority="429" operator="equal">
      <formula>"Distinction"</formula>
    </cfRule>
  </conditionalFormatting>
  <conditionalFormatting sqref="S43">
    <cfRule type="cellIs" dxfId="778" priority="427" operator="equal">
      <formula>"Merit"</formula>
    </cfRule>
  </conditionalFormatting>
  <conditionalFormatting sqref="S43">
    <cfRule type="cellIs" dxfId="777" priority="426" operator="equal">
      <formula>"Pass"</formula>
    </cfRule>
  </conditionalFormatting>
  <conditionalFormatting sqref="S43">
    <cfRule type="cellIs" dxfId="776" priority="425" operator="equal">
      <formula>"No Grade"</formula>
    </cfRule>
  </conditionalFormatting>
  <conditionalFormatting sqref="S43:S44">
    <cfRule type="cellIs" dxfId="775" priority="424" operator="lessThan">
      <formula>25</formula>
    </cfRule>
  </conditionalFormatting>
  <conditionalFormatting sqref="S43">
    <cfRule type="cellIs" dxfId="774" priority="422" operator="equal">
      <formula>"Distinction"</formula>
    </cfRule>
    <cfRule type="cellIs" dxfId="773" priority="423" operator="equal">
      <formula>"Distinction"</formula>
    </cfRule>
  </conditionalFormatting>
  <conditionalFormatting sqref="S43">
    <cfRule type="cellIs" dxfId="772" priority="421" operator="equal">
      <formula>"Merit"</formula>
    </cfRule>
  </conditionalFormatting>
  <conditionalFormatting sqref="S43">
    <cfRule type="cellIs" dxfId="771" priority="420" operator="equal">
      <formula>"Pass"</formula>
    </cfRule>
  </conditionalFormatting>
  <conditionalFormatting sqref="S43">
    <cfRule type="cellIs" dxfId="770" priority="419" operator="equal">
      <formula>"No Grade"</formula>
    </cfRule>
  </conditionalFormatting>
  <conditionalFormatting sqref="S43:S44">
    <cfRule type="cellIs" dxfId="769" priority="418" operator="lessThan">
      <formula>25</formula>
    </cfRule>
  </conditionalFormatting>
  <conditionalFormatting sqref="S43">
    <cfRule type="cellIs" dxfId="768" priority="416" operator="equal">
      <formula>"Distinction"</formula>
    </cfRule>
    <cfRule type="cellIs" dxfId="767" priority="417" operator="equal">
      <formula>"Distinction"</formula>
    </cfRule>
  </conditionalFormatting>
  <conditionalFormatting sqref="S43">
    <cfRule type="cellIs" dxfId="766" priority="415" operator="equal">
      <formula>"Merit"</formula>
    </cfRule>
  </conditionalFormatting>
  <conditionalFormatting sqref="S43">
    <cfRule type="cellIs" dxfId="765" priority="414" operator="equal">
      <formula>"Pass"</formula>
    </cfRule>
  </conditionalFormatting>
  <conditionalFormatting sqref="S43">
    <cfRule type="cellIs" dxfId="764" priority="413" operator="equal">
      <formula>"No Grade"</formula>
    </cfRule>
  </conditionalFormatting>
  <conditionalFormatting sqref="S43:S44">
    <cfRule type="cellIs" dxfId="763" priority="412" operator="lessThan">
      <formula>25</formula>
    </cfRule>
  </conditionalFormatting>
  <conditionalFormatting sqref="S43">
    <cfRule type="cellIs" dxfId="762" priority="410" operator="equal">
      <formula>"Distinction"</formula>
    </cfRule>
    <cfRule type="cellIs" dxfId="761" priority="411" operator="equal">
      <formula>"Distinction"</formula>
    </cfRule>
  </conditionalFormatting>
  <conditionalFormatting sqref="S43">
    <cfRule type="cellIs" dxfId="760" priority="409" operator="equal">
      <formula>"Merit"</formula>
    </cfRule>
  </conditionalFormatting>
  <conditionalFormatting sqref="S43">
    <cfRule type="cellIs" dxfId="759" priority="408" operator="equal">
      <formula>"Pass"</formula>
    </cfRule>
  </conditionalFormatting>
  <conditionalFormatting sqref="S43">
    <cfRule type="cellIs" dxfId="758" priority="407" operator="equal">
      <formula>"No Grade"</formula>
    </cfRule>
  </conditionalFormatting>
  <conditionalFormatting sqref="S43:S44">
    <cfRule type="cellIs" dxfId="757" priority="405" operator="lessThan">
      <formula>25</formula>
    </cfRule>
    <cfRule type="cellIs" dxfId="756" priority="406" operator="lessThan">
      <formula>25</formula>
    </cfRule>
  </conditionalFormatting>
  <conditionalFormatting sqref="S43">
    <cfRule type="cellIs" dxfId="755" priority="403" operator="equal">
      <formula>"Distinction"</formula>
    </cfRule>
    <cfRule type="cellIs" dxfId="754" priority="404" operator="equal">
      <formula>"Distinction"</formula>
    </cfRule>
  </conditionalFormatting>
  <conditionalFormatting sqref="S43">
    <cfRule type="cellIs" dxfId="753" priority="402" operator="equal">
      <formula>"Merit"</formula>
    </cfRule>
  </conditionalFormatting>
  <conditionalFormatting sqref="S43">
    <cfRule type="cellIs" dxfId="752" priority="401" operator="equal">
      <formula>"Pass"</formula>
    </cfRule>
  </conditionalFormatting>
  <conditionalFormatting sqref="S43">
    <cfRule type="cellIs" dxfId="751" priority="400" operator="equal">
      <formula>"No Grade"</formula>
    </cfRule>
  </conditionalFormatting>
  <conditionalFormatting sqref="S43:S44">
    <cfRule type="cellIs" dxfId="750" priority="399" operator="lessThan">
      <formula>25</formula>
    </cfRule>
  </conditionalFormatting>
  <conditionalFormatting sqref="S43">
    <cfRule type="cellIs" dxfId="749" priority="397" operator="equal">
      <formula>"Distinction"</formula>
    </cfRule>
    <cfRule type="cellIs" dxfId="748" priority="398" operator="equal">
      <formula>"Distinction"</formula>
    </cfRule>
  </conditionalFormatting>
  <conditionalFormatting sqref="S43">
    <cfRule type="cellIs" dxfId="747" priority="396" operator="equal">
      <formula>"Merit"</formula>
    </cfRule>
  </conditionalFormatting>
  <conditionalFormatting sqref="S43">
    <cfRule type="cellIs" dxfId="746" priority="395" operator="equal">
      <formula>"Pass"</formula>
    </cfRule>
  </conditionalFormatting>
  <conditionalFormatting sqref="S43">
    <cfRule type="cellIs" dxfId="745" priority="394" operator="equal">
      <formula>"No Grade"</formula>
    </cfRule>
  </conditionalFormatting>
  <conditionalFormatting sqref="S43:S44">
    <cfRule type="cellIs" dxfId="744" priority="393" operator="lessThan">
      <formula>25</formula>
    </cfRule>
  </conditionalFormatting>
  <conditionalFormatting sqref="S43">
    <cfRule type="cellIs" dxfId="743" priority="391" operator="equal">
      <formula>"Distinction"</formula>
    </cfRule>
    <cfRule type="cellIs" dxfId="742" priority="392" operator="equal">
      <formula>"Distinction"</formula>
    </cfRule>
  </conditionalFormatting>
  <conditionalFormatting sqref="S43">
    <cfRule type="cellIs" dxfId="741" priority="390" operator="equal">
      <formula>"Merit"</formula>
    </cfRule>
  </conditionalFormatting>
  <conditionalFormatting sqref="S43">
    <cfRule type="cellIs" dxfId="740" priority="389" operator="equal">
      <formula>"Pass"</formula>
    </cfRule>
  </conditionalFormatting>
  <conditionalFormatting sqref="S43">
    <cfRule type="cellIs" dxfId="739" priority="388" operator="equal">
      <formula>"No Grade"</formula>
    </cfRule>
  </conditionalFormatting>
  <conditionalFormatting sqref="S43:S44">
    <cfRule type="cellIs" dxfId="738" priority="387" operator="lessThan">
      <formula>25</formula>
    </cfRule>
  </conditionalFormatting>
  <conditionalFormatting sqref="S43">
    <cfRule type="cellIs" dxfId="737" priority="385" operator="equal">
      <formula>"Distinction"</formula>
    </cfRule>
    <cfRule type="cellIs" dxfId="736" priority="386" operator="equal">
      <formula>"Distinction"</formula>
    </cfRule>
  </conditionalFormatting>
  <conditionalFormatting sqref="S43">
    <cfRule type="cellIs" dxfId="735" priority="384" operator="equal">
      <formula>"Merit"</formula>
    </cfRule>
  </conditionalFormatting>
  <conditionalFormatting sqref="S43">
    <cfRule type="cellIs" dxfId="734" priority="383" operator="equal">
      <formula>"Pass"</formula>
    </cfRule>
  </conditionalFormatting>
  <conditionalFormatting sqref="S43">
    <cfRule type="cellIs" dxfId="733" priority="382" operator="equal">
      <formula>"No Grade"</formula>
    </cfRule>
  </conditionalFormatting>
  <conditionalFormatting sqref="S43:S44">
    <cfRule type="cellIs" dxfId="732" priority="381" operator="lessThan">
      <formula>25</formula>
    </cfRule>
  </conditionalFormatting>
  <conditionalFormatting sqref="S43">
    <cfRule type="cellIs" dxfId="731" priority="379" operator="equal">
      <formula>"Distinction"</formula>
    </cfRule>
    <cfRule type="cellIs" dxfId="730" priority="380" operator="equal">
      <formula>"Distinction"</formula>
    </cfRule>
  </conditionalFormatting>
  <conditionalFormatting sqref="S43">
    <cfRule type="cellIs" dxfId="729" priority="378" operator="equal">
      <formula>"Merit"</formula>
    </cfRule>
  </conditionalFormatting>
  <conditionalFormatting sqref="S43">
    <cfRule type="cellIs" dxfId="728" priority="377" operator="equal">
      <formula>"Pass"</formula>
    </cfRule>
  </conditionalFormatting>
  <conditionalFormatting sqref="S43">
    <cfRule type="cellIs" dxfId="727" priority="376" operator="equal">
      <formula>"No Grade"</formula>
    </cfRule>
  </conditionalFormatting>
  <conditionalFormatting sqref="S43:S44">
    <cfRule type="cellIs" dxfId="726" priority="375" operator="lessThan">
      <formula>25</formula>
    </cfRule>
  </conditionalFormatting>
  <conditionalFormatting sqref="S43">
    <cfRule type="cellIs" dxfId="725" priority="373" operator="equal">
      <formula>"Distinction"</formula>
    </cfRule>
    <cfRule type="cellIs" dxfId="724" priority="374" operator="equal">
      <formula>"Distinction"</formula>
    </cfRule>
  </conditionalFormatting>
  <conditionalFormatting sqref="S43">
    <cfRule type="cellIs" dxfId="723" priority="372" operator="equal">
      <formula>"Merit"</formula>
    </cfRule>
  </conditionalFormatting>
  <conditionalFormatting sqref="S43">
    <cfRule type="cellIs" dxfId="722" priority="371" operator="equal">
      <formula>"Pass"</formula>
    </cfRule>
  </conditionalFormatting>
  <conditionalFormatting sqref="S43">
    <cfRule type="cellIs" dxfId="721" priority="370" operator="equal">
      <formula>"No Grade"</formula>
    </cfRule>
  </conditionalFormatting>
  <conditionalFormatting sqref="S43:S44">
    <cfRule type="cellIs" dxfId="720" priority="368" operator="lessThan">
      <formula>25</formula>
    </cfRule>
    <cfRule type="cellIs" dxfId="719" priority="369" operator="lessThan">
      <formula>25</formula>
    </cfRule>
  </conditionalFormatting>
  <conditionalFormatting sqref="S43">
    <cfRule type="cellIs" dxfId="718" priority="366" operator="equal">
      <formula>"Distinction"</formula>
    </cfRule>
    <cfRule type="cellIs" dxfId="717" priority="367" operator="equal">
      <formula>"Distinction"</formula>
    </cfRule>
  </conditionalFormatting>
  <conditionalFormatting sqref="S43">
    <cfRule type="cellIs" dxfId="716" priority="365" operator="equal">
      <formula>"Merit"</formula>
    </cfRule>
  </conditionalFormatting>
  <conditionalFormatting sqref="S43">
    <cfRule type="cellIs" dxfId="715" priority="364" operator="equal">
      <formula>"Pass"</formula>
    </cfRule>
  </conditionalFormatting>
  <conditionalFormatting sqref="S43">
    <cfRule type="cellIs" dxfId="714" priority="363" operator="equal">
      <formula>"No Grade"</formula>
    </cfRule>
  </conditionalFormatting>
  <conditionalFormatting sqref="S43:S44">
    <cfRule type="cellIs" dxfId="713" priority="362" operator="lessThan">
      <formula>25</formula>
    </cfRule>
  </conditionalFormatting>
  <conditionalFormatting sqref="S43">
    <cfRule type="cellIs" dxfId="712" priority="360" operator="equal">
      <formula>"Distinction"</formula>
    </cfRule>
    <cfRule type="cellIs" dxfId="711" priority="361" operator="equal">
      <formula>"Distinction"</formula>
    </cfRule>
  </conditionalFormatting>
  <conditionalFormatting sqref="S43">
    <cfRule type="cellIs" dxfId="710" priority="359" operator="equal">
      <formula>"Merit"</formula>
    </cfRule>
  </conditionalFormatting>
  <conditionalFormatting sqref="S43">
    <cfRule type="cellIs" dxfId="709" priority="358" operator="equal">
      <formula>"Pass"</formula>
    </cfRule>
  </conditionalFormatting>
  <conditionalFormatting sqref="S43">
    <cfRule type="cellIs" dxfId="708" priority="357" operator="equal">
      <formula>"No Grade"</formula>
    </cfRule>
  </conditionalFormatting>
  <conditionalFormatting sqref="S43:S44">
    <cfRule type="cellIs" dxfId="707" priority="356" operator="lessThan">
      <formula>25</formula>
    </cfRule>
  </conditionalFormatting>
  <conditionalFormatting sqref="S43">
    <cfRule type="cellIs" dxfId="706" priority="354" operator="equal">
      <formula>"Distinction"</formula>
    </cfRule>
    <cfRule type="cellIs" dxfId="705" priority="355" operator="equal">
      <formula>"Distinction"</formula>
    </cfRule>
  </conditionalFormatting>
  <conditionalFormatting sqref="S43">
    <cfRule type="cellIs" dxfId="704" priority="353" operator="equal">
      <formula>"Merit"</formula>
    </cfRule>
  </conditionalFormatting>
  <conditionalFormatting sqref="S43">
    <cfRule type="cellIs" dxfId="703" priority="352" operator="equal">
      <formula>"Pass"</formula>
    </cfRule>
  </conditionalFormatting>
  <conditionalFormatting sqref="S43">
    <cfRule type="cellIs" dxfId="702" priority="351" operator="equal">
      <formula>"No Grade"</formula>
    </cfRule>
  </conditionalFormatting>
  <conditionalFormatting sqref="S43:S44">
    <cfRule type="cellIs" dxfId="701" priority="350" operator="lessThan">
      <formula>25</formula>
    </cfRule>
  </conditionalFormatting>
  <conditionalFormatting sqref="S43">
    <cfRule type="cellIs" dxfId="700" priority="348" operator="equal">
      <formula>"Distinction"</formula>
    </cfRule>
    <cfRule type="cellIs" dxfId="699" priority="349" operator="equal">
      <formula>"Distinction"</formula>
    </cfRule>
  </conditionalFormatting>
  <conditionalFormatting sqref="S43">
    <cfRule type="cellIs" dxfId="698" priority="347" operator="equal">
      <formula>"Merit"</formula>
    </cfRule>
  </conditionalFormatting>
  <conditionalFormatting sqref="S43">
    <cfRule type="cellIs" dxfId="697" priority="346" operator="equal">
      <formula>"Pass"</formula>
    </cfRule>
  </conditionalFormatting>
  <conditionalFormatting sqref="S43">
    <cfRule type="cellIs" dxfId="696" priority="345" operator="equal">
      <formula>"No Grade"</formula>
    </cfRule>
  </conditionalFormatting>
  <conditionalFormatting sqref="S43:S44">
    <cfRule type="cellIs" dxfId="695" priority="344" operator="lessThan">
      <formula>25</formula>
    </cfRule>
  </conditionalFormatting>
  <conditionalFormatting sqref="S43">
    <cfRule type="cellIs" dxfId="694" priority="342" operator="equal">
      <formula>"Distinction"</formula>
    </cfRule>
    <cfRule type="cellIs" dxfId="693" priority="343" operator="equal">
      <formula>"Distinction"</formula>
    </cfRule>
  </conditionalFormatting>
  <conditionalFormatting sqref="S43">
    <cfRule type="cellIs" dxfId="692" priority="341" operator="equal">
      <formula>"Merit"</formula>
    </cfRule>
  </conditionalFormatting>
  <conditionalFormatting sqref="S43">
    <cfRule type="cellIs" dxfId="691" priority="340" operator="equal">
      <formula>"Pass"</formula>
    </cfRule>
  </conditionalFormatting>
  <conditionalFormatting sqref="S43">
    <cfRule type="cellIs" dxfId="690" priority="339" operator="equal">
      <formula>"No Grade"</formula>
    </cfRule>
  </conditionalFormatting>
  <conditionalFormatting sqref="S43:S44">
    <cfRule type="cellIs" dxfId="689" priority="337" operator="lessThan">
      <formula>25</formula>
    </cfRule>
    <cfRule type="cellIs" dxfId="688" priority="338" operator="lessThan">
      <formula>25</formula>
    </cfRule>
  </conditionalFormatting>
  <conditionalFormatting sqref="S43">
    <cfRule type="cellIs" dxfId="687" priority="335" operator="equal">
      <formula>"Distinction"</formula>
    </cfRule>
    <cfRule type="cellIs" dxfId="686" priority="336" operator="equal">
      <formula>"Distinction"</formula>
    </cfRule>
  </conditionalFormatting>
  <conditionalFormatting sqref="S43">
    <cfRule type="cellIs" dxfId="685" priority="334" operator="equal">
      <formula>"Merit"</formula>
    </cfRule>
  </conditionalFormatting>
  <conditionalFormatting sqref="S43">
    <cfRule type="cellIs" dxfId="684" priority="333" operator="equal">
      <formula>"Pass"</formula>
    </cfRule>
  </conditionalFormatting>
  <conditionalFormatting sqref="S43">
    <cfRule type="cellIs" dxfId="683" priority="332" operator="equal">
      <formula>"No Grade"</formula>
    </cfRule>
  </conditionalFormatting>
  <conditionalFormatting sqref="S43:S44">
    <cfRule type="cellIs" dxfId="682" priority="331" operator="lessThan">
      <formula>25</formula>
    </cfRule>
  </conditionalFormatting>
  <conditionalFormatting sqref="S43">
    <cfRule type="cellIs" dxfId="681" priority="329" operator="equal">
      <formula>"Distinction"</formula>
    </cfRule>
    <cfRule type="cellIs" dxfId="680" priority="330" operator="equal">
      <formula>"Distinction"</formula>
    </cfRule>
  </conditionalFormatting>
  <conditionalFormatting sqref="S43">
    <cfRule type="cellIs" dxfId="679" priority="328" operator="equal">
      <formula>"Merit"</formula>
    </cfRule>
  </conditionalFormatting>
  <conditionalFormatting sqref="S43">
    <cfRule type="cellIs" dxfId="678" priority="327" operator="equal">
      <formula>"Pass"</formula>
    </cfRule>
  </conditionalFormatting>
  <conditionalFormatting sqref="S43">
    <cfRule type="cellIs" dxfId="677" priority="326" operator="equal">
      <formula>"No Grade"</formula>
    </cfRule>
  </conditionalFormatting>
  <conditionalFormatting sqref="S43:S44">
    <cfRule type="cellIs" dxfId="676" priority="325" operator="lessThan">
      <formula>25</formula>
    </cfRule>
  </conditionalFormatting>
  <conditionalFormatting sqref="S43">
    <cfRule type="cellIs" dxfId="675" priority="323" operator="equal">
      <formula>"Distinction"</formula>
    </cfRule>
    <cfRule type="cellIs" dxfId="674" priority="324" operator="equal">
      <formula>"Distinction"</formula>
    </cfRule>
  </conditionalFormatting>
  <conditionalFormatting sqref="S43">
    <cfRule type="cellIs" dxfId="673" priority="322" operator="equal">
      <formula>"Merit"</formula>
    </cfRule>
  </conditionalFormatting>
  <conditionalFormatting sqref="S43">
    <cfRule type="cellIs" dxfId="672" priority="321" operator="equal">
      <formula>"Pass"</formula>
    </cfRule>
  </conditionalFormatting>
  <conditionalFormatting sqref="S43">
    <cfRule type="cellIs" dxfId="671" priority="320" operator="equal">
      <formula>"No Grade"</formula>
    </cfRule>
  </conditionalFormatting>
  <conditionalFormatting sqref="S43:S44">
    <cfRule type="cellIs" dxfId="670" priority="319" operator="lessThan">
      <formula>25</formula>
    </cfRule>
  </conditionalFormatting>
  <conditionalFormatting sqref="S43">
    <cfRule type="cellIs" dxfId="669" priority="317" operator="equal">
      <formula>"Distinction"</formula>
    </cfRule>
    <cfRule type="cellIs" dxfId="668" priority="318" operator="equal">
      <formula>"Distinction"</formula>
    </cfRule>
  </conditionalFormatting>
  <conditionalFormatting sqref="S43">
    <cfRule type="cellIs" dxfId="667" priority="316" operator="equal">
      <formula>"Merit"</formula>
    </cfRule>
  </conditionalFormatting>
  <conditionalFormatting sqref="S43">
    <cfRule type="cellIs" dxfId="666" priority="315" operator="equal">
      <formula>"Pass"</formula>
    </cfRule>
  </conditionalFormatting>
  <conditionalFormatting sqref="S43">
    <cfRule type="cellIs" dxfId="665" priority="314" operator="equal">
      <formula>"No Grade"</formula>
    </cfRule>
  </conditionalFormatting>
  <conditionalFormatting sqref="S43:S44">
    <cfRule type="cellIs" dxfId="664" priority="312" operator="lessThan">
      <formula>25</formula>
    </cfRule>
    <cfRule type="cellIs" dxfId="663" priority="313" operator="lessThan">
      <formula>25</formula>
    </cfRule>
  </conditionalFormatting>
  <conditionalFormatting sqref="S43">
    <cfRule type="cellIs" dxfId="662" priority="310" operator="equal">
      <formula>"Distinction"</formula>
    </cfRule>
    <cfRule type="cellIs" dxfId="661" priority="311" operator="equal">
      <formula>"Distinction"</formula>
    </cfRule>
  </conditionalFormatting>
  <conditionalFormatting sqref="S43">
    <cfRule type="cellIs" dxfId="660" priority="309" operator="equal">
      <formula>"Merit"</formula>
    </cfRule>
  </conditionalFormatting>
  <conditionalFormatting sqref="S43">
    <cfRule type="cellIs" dxfId="659" priority="308" operator="equal">
      <formula>"Pass"</formula>
    </cfRule>
  </conditionalFormatting>
  <conditionalFormatting sqref="S43">
    <cfRule type="cellIs" dxfId="658" priority="307" operator="equal">
      <formula>"No Grade"</formula>
    </cfRule>
  </conditionalFormatting>
  <conditionalFormatting sqref="S43:S44">
    <cfRule type="cellIs" dxfId="657" priority="306" operator="lessThan">
      <formula>25</formula>
    </cfRule>
  </conditionalFormatting>
  <conditionalFormatting sqref="S43">
    <cfRule type="cellIs" dxfId="656" priority="304" operator="equal">
      <formula>"Distinction"</formula>
    </cfRule>
    <cfRule type="cellIs" dxfId="655" priority="305" operator="equal">
      <formula>"Distinction"</formula>
    </cfRule>
  </conditionalFormatting>
  <conditionalFormatting sqref="S43">
    <cfRule type="cellIs" dxfId="654" priority="303" operator="equal">
      <formula>"Merit"</formula>
    </cfRule>
  </conditionalFormatting>
  <conditionalFormatting sqref="S43">
    <cfRule type="cellIs" dxfId="653" priority="302" operator="equal">
      <formula>"Pass"</formula>
    </cfRule>
  </conditionalFormatting>
  <conditionalFormatting sqref="S43">
    <cfRule type="cellIs" dxfId="652" priority="301" operator="equal">
      <formula>"No Grade"</formula>
    </cfRule>
  </conditionalFormatting>
  <conditionalFormatting sqref="S43:S44">
    <cfRule type="cellIs" dxfId="651" priority="300" operator="lessThan">
      <formula>25</formula>
    </cfRule>
  </conditionalFormatting>
  <conditionalFormatting sqref="S43">
    <cfRule type="cellIs" dxfId="650" priority="298" operator="equal">
      <formula>"Distinction"</formula>
    </cfRule>
    <cfRule type="cellIs" dxfId="649" priority="299" operator="equal">
      <formula>"Distinction"</formula>
    </cfRule>
  </conditionalFormatting>
  <conditionalFormatting sqref="S43">
    <cfRule type="cellIs" dxfId="648" priority="297" operator="equal">
      <formula>"Merit"</formula>
    </cfRule>
  </conditionalFormatting>
  <conditionalFormatting sqref="S43">
    <cfRule type="cellIs" dxfId="647" priority="296" operator="equal">
      <formula>"Pass"</formula>
    </cfRule>
  </conditionalFormatting>
  <conditionalFormatting sqref="S43">
    <cfRule type="cellIs" dxfId="646" priority="295" operator="equal">
      <formula>"No Grade"</formula>
    </cfRule>
  </conditionalFormatting>
  <conditionalFormatting sqref="S43:S44">
    <cfRule type="cellIs" dxfId="645" priority="293" operator="lessThan">
      <formula>25</formula>
    </cfRule>
    <cfRule type="cellIs" dxfId="644" priority="294" operator="lessThan">
      <formula>25</formula>
    </cfRule>
  </conditionalFormatting>
  <conditionalFormatting sqref="S43">
    <cfRule type="cellIs" dxfId="643" priority="291" operator="equal">
      <formula>"Distinction"</formula>
    </cfRule>
    <cfRule type="cellIs" dxfId="642" priority="292" operator="equal">
      <formula>"Distinction"</formula>
    </cfRule>
  </conditionalFormatting>
  <conditionalFormatting sqref="S43">
    <cfRule type="cellIs" dxfId="641" priority="290" operator="equal">
      <formula>"Merit"</formula>
    </cfRule>
  </conditionalFormatting>
  <conditionalFormatting sqref="S43">
    <cfRule type="cellIs" dxfId="640" priority="289" operator="equal">
      <formula>"Pass"</formula>
    </cfRule>
  </conditionalFormatting>
  <conditionalFormatting sqref="S43">
    <cfRule type="cellIs" dxfId="639" priority="288" operator="equal">
      <formula>"No Grade"</formula>
    </cfRule>
  </conditionalFormatting>
  <conditionalFormatting sqref="S43:S44">
    <cfRule type="cellIs" dxfId="638" priority="287" operator="lessThan">
      <formula>25</formula>
    </cfRule>
  </conditionalFormatting>
  <conditionalFormatting sqref="S43">
    <cfRule type="cellIs" dxfId="637" priority="285" operator="equal">
      <formula>"Distinction"</formula>
    </cfRule>
    <cfRule type="cellIs" dxfId="636" priority="286" operator="equal">
      <formula>"Distinction"</formula>
    </cfRule>
  </conditionalFormatting>
  <conditionalFormatting sqref="S43">
    <cfRule type="cellIs" dxfId="635" priority="284" operator="equal">
      <formula>"Merit"</formula>
    </cfRule>
  </conditionalFormatting>
  <conditionalFormatting sqref="S43">
    <cfRule type="cellIs" dxfId="634" priority="283" operator="equal">
      <formula>"Pass"</formula>
    </cfRule>
  </conditionalFormatting>
  <conditionalFormatting sqref="S43">
    <cfRule type="cellIs" dxfId="633" priority="282" operator="equal">
      <formula>"No Grade"</formula>
    </cfRule>
  </conditionalFormatting>
  <conditionalFormatting sqref="S43:S44">
    <cfRule type="cellIs" dxfId="632" priority="280" operator="lessThan">
      <formula>25</formula>
    </cfRule>
    <cfRule type="cellIs" dxfId="631" priority="281" operator="lessThan">
      <formula>25</formula>
    </cfRule>
  </conditionalFormatting>
  <conditionalFormatting sqref="S43">
    <cfRule type="cellIs" dxfId="630" priority="278" operator="equal">
      <formula>"Distinction"</formula>
    </cfRule>
    <cfRule type="cellIs" dxfId="629" priority="279" operator="equal">
      <formula>"Distinction"</formula>
    </cfRule>
  </conditionalFormatting>
  <conditionalFormatting sqref="S43">
    <cfRule type="cellIs" dxfId="628" priority="277" operator="equal">
      <formula>"Merit"</formula>
    </cfRule>
  </conditionalFormatting>
  <conditionalFormatting sqref="S43">
    <cfRule type="cellIs" dxfId="627" priority="276" operator="equal">
      <formula>"Pass"</formula>
    </cfRule>
  </conditionalFormatting>
  <conditionalFormatting sqref="S43">
    <cfRule type="cellIs" dxfId="626" priority="275" operator="equal">
      <formula>"No Grade"</formula>
    </cfRule>
  </conditionalFormatting>
  <conditionalFormatting sqref="S43:S44">
    <cfRule type="cellIs" dxfId="625" priority="272" operator="lessThan">
      <formula>25</formula>
    </cfRule>
    <cfRule type="cellIs" dxfId="624" priority="273" operator="lessThan">
      <formula>25</formula>
    </cfRule>
    <cfRule type="cellIs" dxfId="623" priority="274" operator="lessThan">
      <formula>25</formula>
    </cfRule>
  </conditionalFormatting>
  <conditionalFormatting sqref="P43">
    <cfRule type="cellIs" dxfId="622" priority="270" operator="equal">
      <formula>"Distinction"</formula>
    </cfRule>
    <cfRule type="cellIs" dxfId="621" priority="271" operator="equal">
      <formula>"Distinction"</formula>
    </cfRule>
  </conditionalFormatting>
  <conditionalFormatting sqref="P43">
    <cfRule type="cellIs" dxfId="620" priority="269" operator="equal">
      <formula>"Merit"</formula>
    </cfRule>
  </conditionalFormatting>
  <conditionalFormatting sqref="P43">
    <cfRule type="cellIs" dxfId="619" priority="268" operator="equal">
      <formula>"Pass"</formula>
    </cfRule>
  </conditionalFormatting>
  <conditionalFormatting sqref="P43">
    <cfRule type="cellIs" dxfId="618" priority="267" operator="equal">
      <formula>"No Grade"</formula>
    </cfRule>
  </conditionalFormatting>
  <conditionalFormatting sqref="P43:P44">
    <cfRule type="cellIs" dxfId="617" priority="266" operator="lessThan">
      <formula>25</formula>
    </cfRule>
  </conditionalFormatting>
  <conditionalFormatting sqref="P43">
    <cfRule type="cellIs" dxfId="616" priority="264" operator="equal">
      <formula>"Distinction"</formula>
    </cfRule>
    <cfRule type="cellIs" dxfId="615" priority="265" operator="equal">
      <formula>"Distinction"</formula>
    </cfRule>
  </conditionalFormatting>
  <conditionalFormatting sqref="P43">
    <cfRule type="cellIs" dxfId="614" priority="263" operator="equal">
      <formula>"Merit"</formula>
    </cfRule>
  </conditionalFormatting>
  <conditionalFormatting sqref="P43">
    <cfRule type="cellIs" dxfId="613" priority="262" operator="equal">
      <formula>"Pass"</formula>
    </cfRule>
  </conditionalFormatting>
  <conditionalFormatting sqref="P43">
    <cfRule type="cellIs" dxfId="612" priority="261" operator="equal">
      <formula>"No Grade"</formula>
    </cfRule>
  </conditionalFormatting>
  <conditionalFormatting sqref="P43:P44">
    <cfRule type="cellIs" dxfId="611" priority="260" operator="lessThan">
      <formula>25</formula>
    </cfRule>
  </conditionalFormatting>
  <conditionalFormatting sqref="P43">
    <cfRule type="cellIs" dxfId="610" priority="258" operator="equal">
      <formula>"Distinction"</formula>
    </cfRule>
    <cfRule type="cellIs" dxfId="609" priority="259" operator="equal">
      <formula>"Distinction"</formula>
    </cfRule>
  </conditionalFormatting>
  <conditionalFormatting sqref="P43">
    <cfRule type="cellIs" dxfId="608" priority="257" operator="equal">
      <formula>"Merit"</formula>
    </cfRule>
  </conditionalFormatting>
  <conditionalFormatting sqref="P43">
    <cfRule type="cellIs" dxfId="607" priority="256" operator="equal">
      <formula>"Pass"</formula>
    </cfRule>
  </conditionalFormatting>
  <conditionalFormatting sqref="P43">
    <cfRule type="cellIs" dxfId="606" priority="255" operator="equal">
      <formula>"No Grade"</formula>
    </cfRule>
  </conditionalFormatting>
  <conditionalFormatting sqref="P43:P44">
    <cfRule type="cellIs" dxfId="605" priority="254" operator="lessThan">
      <formula>25</formula>
    </cfRule>
  </conditionalFormatting>
  <conditionalFormatting sqref="P43">
    <cfRule type="cellIs" dxfId="604" priority="252" operator="equal">
      <formula>"Distinction"</formula>
    </cfRule>
    <cfRule type="cellIs" dxfId="603" priority="253" operator="equal">
      <formula>"Distinction"</formula>
    </cfRule>
  </conditionalFormatting>
  <conditionalFormatting sqref="P43">
    <cfRule type="cellIs" dxfId="602" priority="251" operator="equal">
      <formula>"Merit"</formula>
    </cfRule>
  </conditionalFormatting>
  <conditionalFormatting sqref="P43">
    <cfRule type="cellIs" dxfId="601" priority="250" operator="equal">
      <formula>"Pass"</formula>
    </cfRule>
  </conditionalFormatting>
  <conditionalFormatting sqref="P43">
    <cfRule type="cellIs" dxfId="600" priority="249" operator="equal">
      <formula>"No Grade"</formula>
    </cfRule>
  </conditionalFormatting>
  <conditionalFormatting sqref="P43:P44">
    <cfRule type="cellIs" dxfId="599" priority="248" operator="lessThan">
      <formula>25</formula>
    </cfRule>
  </conditionalFormatting>
  <conditionalFormatting sqref="P43">
    <cfRule type="cellIs" dxfId="598" priority="246" operator="equal">
      <formula>"Distinction"</formula>
    </cfRule>
    <cfRule type="cellIs" dxfId="597" priority="247" operator="equal">
      <formula>"Distinction"</formula>
    </cfRule>
  </conditionalFormatting>
  <conditionalFormatting sqref="P43">
    <cfRule type="cellIs" dxfId="596" priority="245" operator="equal">
      <formula>"Merit"</formula>
    </cfRule>
  </conditionalFormatting>
  <conditionalFormatting sqref="P43">
    <cfRule type="cellIs" dxfId="595" priority="244" operator="equal">
      <formula>"Pass"</formula>
    </cfRule>
  </conditionalFormatting>
  <conditionalFormatting sqref="P43">
    <cfRule type="cellIs" dxfId="594" priority="243" operator="equal">
      <formula>"No Grade"</formula>
    </cfRule>
  </conditionalFormatting>
  <conditionalFormatting sqref="P43:P44">
    <cfRule type="cellIs" dxfId="593" priority="242" operator="lessThan">
      <formula>25</formula>
    </cfRule>
  </conditionalFormatting>
  <conditionalFormatting sqref="P43">
    <cfRule type="cellIs" dxfId="592" priority="240" operator="equal">
      <formula>"Distinction"</formula>
    </cfRule>
    <cfRule type="cellIs" dxfId="591" priority="241" operator="equal">
      <formula>"Distinction"</formula>
    </cfRule>
  </conditionalFormatting>
  <conditionalFormatting sqref="P43">
    <cfRule type="cellIs" dxfId="590" priority="239" operator="equal">
      <formula>"Merit"</formula>
    </cfRule>
  </conditionalFormatting>
  <conditionalFormatting sqref="P43">
    <cfRule type="cellIs" dxfId="589" priority="238" operator="equal">
      <formula>"Pass"</formula>
    </cfRule>
  </conditionalFormatting>
  <conditionalFormatting sqref="P43">
    <cfRule type="cellIs" dxfId="588" priority="237" operator="equal">
      <formula>"No Grade"</formula>
    </cfRule>
  </conditionalFormatting>
  <conditionalFormatting sqref="P43:P44">
    <cfRule type="cellIs" dxfId="587" priority="236" operator="lessThan">
      <formula>25</formula>
    </cfRule>
  </conditionalFormatting>
  <conditionalFormatting sqref="P43">
    <cfRule type="cellIs" dxfId="586" priority="234" operator="equal">
      <formula>"Distinction"</formula>
    </cfRule>
    <cfRule type="cellIs" dxfId="585" priority="235" operator="equal">
      <formula>"Distinction"</formula>
    </cfRule>
  </conditionalFormatting>
  <conditionalFormatting sqref="P43">
    <cfRule type="cellIs" dxfId="584" priority="233" operator="equal">
      <formula>"Merit"</formula>
    </cfRule>
  </conditionalFormatting>
  <conditionalFormatting sqref="P43">
    <cfRule type="cellIs" dxfId="583" priority="232" operator="equal">
      <formula>"Pass"</formula>
    </cfRule>
  </conditionalFormatting>
  <conditionalFormatting sqref="P43">
    <cfRule type="cellIs" dxfId="582" priority="231" operator="equal">
      <formula>"No Grade"</formula>
    </cfRule>
  </conditionalFormatting>
  <conditionalFormatting sqref="P43:P44">
    <cfRule type="cellIs" dxfId="581" priority="230" operator="lessThan">
      <formula>25</formula>
    </cfRule>
  </conditionalFormatting>
  <conditionalFormatting sqref="P43">
    <cfRule type="cellIs" dxfId="580" priority="228" operator="equal">
      <formula>"Distinction"</formula>
    </cfRule>
    <cfRule type="cellIs" dxfId="579" priority="229" operator="equal">
      <formula>"Distinction"</formula>
    </cfRule>
  </conditionalFormatting>
  <conditionalFormatting sqref="P43">
    <cfRule type="cellIs" dxfId="578" priority="227" operator="equal">
      <formula>"Merit"</formula>
    </cfRule>
  </conditionalFormatting>
  <conditionalFormatting sqref="P43">
    <cfRule type="cellIs" dxfId="577" priority="226" operator="equal">
      <formula>"Pass"</formula>
    </cfRule>
  </conditionalFormatting>
  <conditionalFormatting sqref="P43">
    <cfRule type="cellIs" dxfId="576" priority="225" operator="equal">
      <formula>"No Grade"</formula>
    </cfRule>
  </conditionalFormatting>
  <conditionalFormatting sqref="P43:P44">
    <cfRule type="cellIs" dxfId="575" priority="223" operator="lessThan">
      <formula>25</formula>
    </cfRule>
    <cfRule type="cellIs" dxfId="574" priority="224" operator="lessThan">
      <formula>25</formula>
    </cfRule>
  </conditionalFormatting>
  <conditionalFormatting sqref="P43">
    <cfRule type="cellIs" dxfId="573" priority="221" operator="equal">
      <formula>"Distinction"</formula>
    </cfRule>
    <cfRule type="cellIs" dxfId="572" priority="222" operator="equal">
      <formula>"Distinction"</formula>
    </cfRule>
  </conditionalFormatting>
  <conditionalFormatting sqref="P43">
    <cfRule type="cellIs" dxfId="571" priority="220" operator="equal">
      <formula>"Merit"</formula>
    </cfRule>
  </conditionalFormatting>
  <conditionalFormatting sqref="P43">
    <cfRule type="cellIs" dxfId="570" priority="219" operator="equal">
      <formula>"Pass"</formula>
    </cfRule>
  </conditionalFormatting>
  <conditionalFormatting sqref="P43">
    <cfRule type="cellIs" dxfId="569" priority="218" operator="equal">
      <formula>"No Grade"</formula>
    </cfRule>
  </conditionalFormatting>
  <conditionalFormatting sqref="P43:P44">
    <cfRule type="cellIs" dxfId="568" priority="217" operator="lessThan">
      <formula>25</formula>
    </cfRule>
  </conditionalFormatting>
  <conditionalFormatting sqref="P43">
    <cfRule type="cellIs" dxfId="567" priority="215" operator="equal">
      <formula>"Distinction"</formula>
    </cfRule>
    <cfRule type="cellIs" dxfId="566" priority="216" operator="equal">
      <formula>"Distinction"</formula>
    </cfRule>
  </conditionalFormatting>
  <conditionalFormatting sqref="P43">
    <cfRule type="cellIs" dxfId="565" priority="214" operator="equal">
      <formula>"Merit"</formula>
    </cfRule>
  </conditionalFormatting>
  <conditionalFormatting sqref="P43">
    <cfRule type="cellIs" dxfId="564" priority="213" operator="equal">
      <formula>"Pass"</formula>
    </cfRule>
  </conditionalFormatting>
  <conditionalFormatting sqref="P43">
    <cfRule type="cellIs" dxfId="563" priority="212" operator="equal">
      <formula>"No Grade"</formula>
    </cfRule>
  </conditionalFormatting>
  <conditionalFormatting sqref="P43:P44">
    <cfRule type="cellIs" dxfId="562" priority="211" operator="lessThan">
      <formula>25</formula>
    </cfRule>
  </conditionalFormatting>
  <conditionalFormatting sqref="P43">
    <cfRule type="cellIs" dxfId="561" priority="209" operator="equal">
      <formula>"Distinction"</formula>
    </cfRule>
    <cfRule type="cellIs" dxfId="560" priority="210" operator="equal">
      <formula>"Distinction"</formula>
    </cfRule>
  </conditionalFormatting>
  <conditionalFormatting sqref="P43">
    <cfRule type="cellIs" dxfId="559" priority="208" operator="equal">
      <formula>"Merit"</formula>
    </cfRule>
  </conditionalFormatting>
  <conditionalFormatting sqref="P43">
    <cfRule type="cellIs" dxfId="558" priority="207" operator="equal">
      <formula>"Pass"</formula>
    </cfRule>
  </conditionalFormatting>
  <conditionalFormatting sqref="P43">
    <cfRule type="cellIs" dxfId="557" priority="206" operator="equal">
      <formula>"No Grade"</formula>
    </cfRule>
  </conditionalFormatting>
  <conditionalFormatting sqref="P43:P44">
    <cfRule type="cellIs" dxfId="556" priority="205" operator="lessThan">
      <formula>25</formula>
    </cfRule>
  </conditionalFormatting>
  <conditionalFormatting sqref="P43">
    <cfRule type="cellIs" dxfId="555" priority="203" operator="equal">
      <formula>"Distinction"</formula>
    </cfRule>
    <cfRule type="cellIs" dxfId="554" priority="204" operator="equal">
      <formula>"Distinction"</formula>
    </cfRule>
  </conditionalFormatting>
  <conditionalFormatting sqref="P43">
    <cfRule type="cellIs" dxfId="553" priority="202" operator="equal">
      <formula>"Merit"</formula>
    </cfRule>
  </conditionalFormatting>
  <conditionalFormatting sqref="P43">
    <cfRule type="cellIs" dxfId="552" priority="201" operator="equal">
      <formula>"Pass"</formula>
    </cfRule>
  </conditionalFormatting>
  <conditionalFormatting sqref="P43">
    <cfRule type="cellIs" dxfId="551" priority="200" operator="equal">
      <formula>"No Grade"</formula>
    </cfRule>
  </conditionalFormatting>
  <conditionalFormatting sqref="P43:P44">
    <cfRule type="cellIs" dxfId="550" priority="199" operator="lessThan">
      <formula>25</formula>
    </cfRule>
  </conditionalFormatting>
  <conditionalFormatting sqref="P43">
    <cfRule type="cellIs" dxfId="549" priority="197" operator="equal">
      <formula>"Distinction"</formula>
    </cfRule>
    <cfRule type="cellIs" dxfId="548" priority="198" operator="equal">
      <formula>"Distinction"</formula>
    </cfRule>
  </conditionalFormatting>
  <conditionalFormatting sqref="P43">
    <cfRule type="cellIs" dxfId="547" priority="196" operator="equal">
      <formula>"Merit"</formula>
    </cfRule>
  </conditionalFormatting>
  <conditionalFormatting sqref="P43">
    <cfRule type="cellIs" dxfId="546" priority="195" operator="equal">
      <formula>"Pass"</formula>
    </cfRule>
  </conditionalFormatting>
  <conditionalFormatting sqref="P43">
    <cfRule type="cellIs" dxfId="545" priority="194" operator="equal">
      <formula>"No Grade"</formula>
    </cfRule>
  </conditionalFormatting>
  <conditionalFormatting sqref="P43:P44">
    <cfRule type="cellIs" dxfId="544" priority="193" operator="lessThan">
      <formula>25</formula>
    </cfRule>
  </conditionalFormatting>
  <conditionalFormatting sqref="P43">
    <cfRule type="cellIs" dxfId="543" priority="191" operator="equal">
      <formula>"Distinction"</formula>
    </cfRule>
    <cfRule type="cellIs" dxfId="542" priority="192" operator="equal">
      <formula>"Distinction"</formula>
    </cfRule>
  </conditionalFormatting>
  <conditionalFormatting sqref="P43">
    <cfRule type="cellIs" dxfId="541" priority="190" operator="equal">
      <formula>"Merit"</formula>
    </cfRule>
  </conditionalFormatting>
  <conditionalFormatting sqref="P43">
    <cfRule type="cellIs" dxfId="540" priority="189" operator="equal">
      <formula>"Pass"</formula>
    </cfRule>
  </conditionalFormatting>
  <conditionalFormatting sqref="P43">
    <cfRule type="cellIs" dxfId="539" priority="188" operator="equal">
      <formula>"No Grade"</formula>
    </cfRule>
  </conditionalFormatting>
  <conditionalFormatting sqref="P43:P44">
    <cfRule type="cellIs" dxfId="538" priority="187" operator="lessThan">
      <formula>25</formula>
    </cfRule>
  </conditionalFormatting>
  <conditionalFormatting sqref="P43">
    <cfRule type="cellIs" dxfId="537" priority="185" operator="equal">
      <formula>"Distinction"</formula>
    </cfRule>
    <cfRule type="cellIs" dxfId="536" priority="186" operator="equal">
      <formula>"Distinction"</formula>
    </cfRule>
  </conditionalFormatting>
  <conditionalFormatting sqref="P43">
    <cfRule type="cellIs" dxfId="535" priority="184" operator="equal">
      <formula>"Merit"</formula>
    </cfRule>
  </conditionalFormatting>
  <conditionalFormatting sqref="P43">
    <cfRule type="cellIs" dxfId="534" priority="183" operator="equal">
      <formula>"Pass"</formula>
    </cfRule>
  </conditionalFormatting>
  <conditionalFormatting sqref="P43">
    <cfRule type="cellIs" dxfId="533" priority="182" operator="equal">
      <formula>"No Grade"</formula>
    </cfRule>
  </conditionalFormatting>
  <conditionalFormatting sqref="P43:P44">
    <cfRule type="cellIs" dxfId="532" priority="180" operator="lessThan">
      <formula>25</formula>
    </cfRule>
    <cfRule type="cellIs" dxfId="531" priority="181" operator="lessThan">
      <formula>25</formula>
    </cfRule>
  </conditionalFormatting>
  <conditionalFormatting sqref="P43">
    <cfRule type="cellIs" dxfId="530" priority="178" operator="equal">
      <formula>"Distinction"</formula>
    </cfRule>
    <cfRule type="cellIs" dxfId="529" priority="179" operator="equal">
      <formula>"Distinction"</formula>
    </cfRule>
  </conditionalFormatting>
  <conditionalFormatting sqref="P43">
    <cfRule type="cellIs" dxfId="528" priority="177" operator="equal">
      <formula>"Merit"</formula>
    </cfRule>
  </conditionalFormatting>
  <conditionalFormatting sqref="P43">
    <cfRule type="cellIs" dxfId="527" priority="176" operator="equal">
      <formula>"Pass"</formula>
    </cfRule>
  </conditionalFormatting>
  <conditionalFormatting sqref="P43">
    <cfRule type="cellIs" dxfId="526" priority="175" operator="equal">
      <formula>"No Grade"</formula>
    </cfRule>
  </conditionalFormatting>
  <conditionalFormatting sqref="P43:P44">
    <cfRule type="cellIs" dxfId="525" priority="174" operator="lessThan">
      <formula>25</formula>
    </cfRule>
  </conditionalFormatting>
  <conditionalFormatting sqref="P43">
    <cfRule type="cellIs" dxfId="524" priority="172" operator="equal">
      <formula>"Distinction"</formula>
    </cfRule>
    <cfRule type="cellIs" dxfId="523" priority="173" operator="equal">
      <formula>"Distinction"</formula>
    </cfRule>
  </conditionalFormatting>
  <conditionalFormatting sqref="P43">
    <cfRule type="cellIs" dxfId="522" priority="171" operator="equal">
      <formula>"Merit"</formula>
    </cfRule>
  </conditionalFormatting>
  <conditionalFormatting sqref="P43">
    <cfRule type="cellIs" dxfId="521" priority="170" operator="equal">
      <formula>"Pass"</formula>
    </cfRule>
  </conditionalFormatting>
  <conditionalFormatting sqref="P43">
    <cfRule type="cellIs" dxfId="520" priority="169" operator="equal">
      <formula>"No Grade"</formula>
    </cfRule>
  </conditionalFormatting>
  <conditionalFormatting sqref="P43:P44">
    <cfRule type="cellIs" dxfId="519" priority="168" operator="lessThan">
      <formula>25</formula>
    </cfRule>
  </conditionalFormatting>
  <conditionalFormatting sqref="P43">
    <cfRule type="cellIs" dxfId="518" priority="166" operator="equal">
      <formula>"Distinction"</formula>
    </cfRule>
    <cfRule type="cellIs" dxfId="517" priority="167" operator="equal">
      <formula>"Distinction"</formula>
    </cfRule>
  </conditionalFormatting>
  <conditionalFormatting sqref="P43">
    <cfRule type="cellIs" dxfId="516" priority="165" operator="equal">
      <formula>"Merit"</formula>
    </cfRule>
  </conditionalFormatting>
  <conditionalFormatting sqref="P43">
    <cfRule type="cellIs" dxfId="515" priority="164" operator="equal">
      <formula>"Pass"</formula>
    </cfRule>
  </conditionalFormatting>
  <conditionalFormatting sqref="P43">
    <cfRule type="cellIs" dxfId="514" priority="163" operator="equal">
      <formula>"No Grade"</formula>
    </cfRule>
  </conditionalFormatting>
  <conditionalFormatting sqref="P43:P44">
    <cfRule type="cellIs" dxfId="513" priority="162" operator="lessThan">
      <formula>25</formula>
    </cfRule>
  </conditionalFormatting>
  <conditionalFormatting sqref="P43">
    <cfRule type="cellIs" dxfId="512" priority="160" operator="equal">
      <formula>"Distinction"</formula>
    </cfRule>
    <cfRule type="cellIs" dxfId="511" priority="161" operator="equal">
      <formula>"Distinction"</formula>
    </cfRule>
  </conditionalFormatting>
  <conditionalFormatting sqref="P43">
    <cfRule type="cellIs" dxfId="510" priority="159" operator="equal">
      <formula>"Merit"</formula>
    </cfRule>
  </conditionalFormatting>
  <conditionalFormatting sqref="P43">
    <cfRule type="cellIs" dxfId="509" priority="158" operator="equal">
      <formula>"Pass"</formula>
    </cfRule>
  </conditionalFormatting>
  <conditionalFormatting sqref="P43">
    <cfRule type="cellIs" dxfId="508" priority="157" operator="equal">
      <formula>"No Grade"</formula>
    </cfRule>
  </conditionalFormatting>
  <conditionalFormatting sqref="P43:P44">
    <cfRule type="cellIs" dxfId="507" priority="156" operator="lessThan">
      <formula>25</formula>
    </cfRule>
  </conditionalFormatting>
  <conditionalFormatting sqref="P43">
    <cfRule type="cellIs" dxfId="506" priority="154" operator="equal">
      <formula>"Distinction"</formula>
    </cfRule>
    <cfRule type="cellIs" dxfId="505" priority="155" operator="equal">
      <formula>"Distinction"</formula>
    </cfRule>
  </conditionalFormatting>
  <conditionalFormatting sqref="P43">
    <cfRule type="cellIs" dxfId="504" priority="153" operator="equal">
      <formula>"Merit"</formula>
    </cfRule>
  </conditionalFormatting>
  <conditionalFormatting sqref="P43">
    <cfRule type="cellIs" dxfId="503" priority="152" operator="equal">
      <formula>"Pass"</formula>
    </cfRule>
  </conditionalFormatting>
  <conditionalFormatting sqref="P43">
    <cfRule type="cellIs" dxfId="502" priority="151" operator="equal">
      <formula>"No Grade"</formula>
    </cfRule>
  </conditionalFormatting>
  <conditionalFormatting sqref="P43:P44">
    <cfRule type="cellIs" dxfId="501" priority="150" operator="lessThan">
      <formula>25</formula>
    </cfRule>
  </conditionalFormatting>
  <conditionalFormatting sqref="P43">
    <cfRule type="cellIs" dxfId="500" priority="148" operator="equal">
      <formula>"Distinction"</formula>
    </cfRule>
    <cfRule type="cellIs" dxfId="499" priority="149" operator="equal">
      <formula>"Distinction"</formula>
    </cfRule>
  </conditionalFormatting>
  <conditionalFormatting sqref="P43">
    <cfRule type="cellIs" dxfId="498" priority="147" operator="equal">
      <formula>"Merit"</formula>
    </cfRule>
  </conditionalFormatting>
  <conditionalFormatting sqref="P43">
    <cfRule type="cellIs" dxfId="497" priority="146" operator="equal">
      <formula>"Pass"</formula>
    </cfRule>
  </conditionalFormatting>
  <conditionalFormatting sqref="P43">
    <cfRule type="cellIs" dxfId="496" priority="145" operator="equal">
      <formula>"No Grade"</formula>
    </cfRule>
  </conditionalFormatting>
  <conditionalFormatting sqref="P43:P44">
    <cfRule type="cellIs" dxfId="495" priority="144" operator="lessThan">
      <formula>25</formula>
    </cfRule>
  </conditionalFormatting>
  <conditionalFormatting sqref="P43">
    <cfRule type="cellIs" dxfId="494" priority="142" operator="equal">
      <formula>"Distinction"</formula>
    </cfRule>
    <cfRule type="cellIs" dxfId="493" priority="143" operator="equal">
      <formula>"Distinction"</formula>
    </cfRule>
  </conditionalFormatting>
  <conditionalFormatting sqref="P43">
    <cfRule type="cellIs" dxfId="492" priority="141" operator="equal">
      <formula>"Merit"</formula>
    </cfRule>
  </conditionalFormatting>
  <conditionalFormatting sqref="P43">
    <cfRule type="cellIs" dxfId="491" priority="140" operator="equal">
      <formula>"Pass"</formula>
    </cfRule>
  </conditionalFormatting>
  <conditionalFormatting sqref="P43">
    <cfRule type="cellIs" dxfId="490" priority="139" operator="equal">
      <formula>"No Grade"</formula>
    </cfRule>
  </conditionalFormatting>
  <conditionalFormatting sqref="P43:P44">
    <cfRule type="cellIs" dxfId="489" priority="137" operator="lessThan">
      <formula>25</formula>
    </cfRule>
    <cfRule type="cellIs" dxfId="488" priority="138" operator="lessThan">
      <formula>25</formula>
    </cfRule>
  </conditionalFormatting>
  <conditionalFormatting sqref="P43">
    <cfRule type="cellIs" dxfId="487" priority="135" operator="equal">
      <formula>"Distinction"</formula>
    </cfRule>
    <cfRule type="cellIs" dxfId="486" priority="136" operator="equal">
      <formula>"Distinction"</formula>
    </cfRule>
  </conditionalFormatting>
  <conditionalFormatting sqref="P43">
    <cfRule type="cellIs" dxfId="485" priority="134" operator="equal">
      <formula>"Merit"</formula>
    </cfRule>
  </conditionalFormatting>
  <conditionalFormatting sqref="P43">
    <cfRule type="cellIs" dxfId="484" priority="133" operator="equal">
      <formula>"Pass"</formula>
    </cfRule>
  </conditionalFormatting>
  <conditionalFormatting sqref="P43">
    <cfRule type="cellIs" dxfId="483" priority="132" operator="equal">
      <formula>"No Grade"</formula>
    </cfRule>
  </conditionalFormatting>
  <conditionalFormatting sqref="P43:P44">
    <cfRule type="cellIs" dxfId="482" priority="131" operator="lessThan">
      <formula>25</formula>
    </cfRule>
  </conditionalFormatting>
  <conditionalFormatting sqref="P43">
    <cfRule type="cellIs" dxfId="481" priority="129" operator="equal">
      <formula>"Distinction"</formula>
    </cfRule>
    <cfRule type="cellIs" dxfId="480" priority="130" operator="equal">
      <formula>"Distinction"</formula>
    </cfRule>
  </conditionalFormatting>
  <conditionalFormatting sqref="P43">
    <cfRule type="cellIs" dxfId="479" priority="128" operator="equal">
      <formula>"Merit"</formula>
    </cfRule>
  </conditionalFormatting>
  <conditionalFormatting sqref="P43">
    <cfRule type="cellIs" dxfId="478" priority="127" operator="equal">
      <formula>"Pass"</formula>
    </cfRule>
  </conditionalFormatting>
  <conditionalFormatting sqref="P43">
    <cfRule type="cellIs" dxfId="477" priority="126" operator="equal">
      <formula>"No Grade"</formula>
    </cfRule>
  </conditionalFormatting>
  <conditionalFormatting sqref="P43:P44">
    <cfRule type="cellIs" dxfId="476" priority="125" operator="lessThan">
      <formula>25</formula>
    </cfRule>
  </conditionalFormatting>
  <conditionalFormatting sqref="P43">
    <cfRule type="cellIs" dxfId="475" priority="123" operator="equal">
      <formula>"Distinction"</formula>
    </cfRule>
    <cfRule type="cellIs" dxfId="474" priority="124" operator="equal">
      <formula>"Distinction"</formula>
    </cfRule>
  </conditionalFormatting>
  <conditionalFormatting sqref="P43">
    <cfRule type="cellIs" dxfId="473" priority="122" operator="equal">
      <formula>"Merit"</formula>
    </cfRule>
  </conditionalFormatting>
  <conditionalFormatting sqref="P43">
    <cfRule type="cellIs" dxfId="472" priority="121" operator="equal">
      <formula>"Pass"</formula>
    </cfRule>
  </conditionalFormatting>
  <conditionalFormatting sqref="P43">
    <cfRule type="cellIs" dxfId="471" priority="120" operator="equal">
      <formula>"No Grade"</formula>
    </cfRule>
  </conditionalFormatting>
  <conditionalFormatting sqref="P43:P44">
    <cfRule type="cellIs" dxfId="470" priority="119" operator="lessThan">
      <formula>25</formula>
    </cfRule>
  </conditionalFormatting>
  <conditionalFormatting sqref="P43">
    <cfRule type="cellIs" dxfId="469" priority="117" operator="equal">
      <formula>"Distinction"</formula>
    </cfRule>
    <cfRule type="cellIs" dxfId="468" priority="118" operator="equal">
      <formula>"Distinction"</formula>
    </cfRule>
  </conditionalFormatting>
  <conditionalFormatting sqref="P43">
    <cfRule type="cellIs" dxfId="467" priority="116" operator="equal">
      <formula>"Merit"</formula>
    </cfRule>
  </conditionalFormatting>
  <conditionalFormatting sqref="P43">
    <cfRule type="cellIs" dxfId="466" priority="115" operator="equal">
      <formula>"Pass"</formula>
    </cfRule>
  </conditionalFormatting>
  <conditionalFormatting sqref="P43">
    <cfRule type="cellIs" dxfId="465" priority="114" operator="equal">
      <formula>"No Grade"</formula>
    </cfRule>
  </conditionalFormatting>
  <conditionalFormatting sqref="P43:P44">
    <cfRule type="cellIs" dxfId="464" priority="113" operator="lessThan">
      <formula>25</formula>
    </cfRule>
  </conditionalFormatting>
  <conditionalFormatting sqref="P43">
    <cfRule type="cellIs" dxfId="463" priority="111" operator="equal">
      <formula>"Distinction"</formula>
    </cfRule>
    <cfRule type="cellIs" dxfId="462" priority="112" operator="equal">
      <formula>"Distinction"</formula>
    </cfRule>
  </conditionalFormatting>
  <conditionalFormatting sqref="P43">
    <cfRule type="cellIs" dxfId="461" priority="110" operator="equal">
      <formula>"Merit"</formula>
    </cfRule>
  </conditionalFormatting>
  <conditionalFormatting sqref="P43">
    <cfRule type="cellIs" dxfId="460" priority="109" operator="equal">
      <formula>"Pass"</formula>
    </cfRule>
  </conditionalFormatting>
  <conditionalFormatting sqref="P43">
    <cfRule type="cellIs" dxfId="459" priority="108" operator="equal">
      <formula>"No Grade"</formula>
    </cfRule>
  </conditionalFormatting>
  <conditionalFormatting sqref="P43:P44">
    <cfRule type="cellIs" dxfId="458" priority="107" operator="lessThan">
      <formula>25</formula>
    </cfRule>
  </conditionalFormatting>
  <conditionalFormatting sqref="P43">
    <cfRule type="cellIs" dxfId="457" priority="105" operator="equal">
      <formula>"Distinction"</formula>
    </cfRule>
    <cfRule type="cellIs" dxfId="456" priority="106" operator="equal">
      <formula>"Distinction"</formula>
    </cfRule>
  </conditionalFormatting>
  <conditionalFormatting sqref="P43">
    <cfRule type="cellIs" dxfId="455" priority="104" operator="equal">
      <formula>"Merit"</formula>
    </cfRule>
  </conditionalFormatting>
  <conditionalFormatting sqref="P43">
    <cfRule type="cellIs" dxfId="454" priority="103" operator="equal">
      <formula>"Pass"</formula>
    </cfRule>
  </conditionalFormatting>
  <conditionalFormatting sqref="P43">
    <cfRule type="cellIs" dxfId="453" priority="102" operator="equal">
      <formula>"No Grade"</formula>
    </cfRule>
  </conditionalFormatting>
  <conditionalFormatting sqref="P43:P44">
    <cfRule type="cellIs" dxfId="452" priority="100" operator="lessThan">
      <formula>25</formula>
    </cfRule>
    <cfRule type="cellIs" dxfId="451" priority="101" operator="lessThan">
      <formula>25</formula>
    </cfRule>
  </conditionalFormatting>
  <conditionalFormatting sqref="P43">
    <cfRule type="cellIs" dxfId="450" priority="98" operator="equal">
      <formula>"Distinction"</formula>
    </cfRule>
    <cfRule type="cellIs" dxfId="449" priority="99" operator="equal">
      <formula>"Distinction"</formula>
    </cfRule>
  </conditionalFormatting>
  <conditionalFormatting sqref="P43">
    <cfRule type="cellIs" dxfId="448" priority="97" operator="equal">
      <formula>"Merit"</formula>
    </cfRule>
  </conditionalFormatting>
  <conditionalFormatting sqref="P43">
    <cfRule type="cellIs" dxfId="447" priority="96" operator="equal">
      <formula>"Pass"</formula>
    </cfRule>
  </conditionalFormatting>
  <conditionalFormatting sqref="P43">
    <cfRule type="cellIs" dxfId="446" priority="95" operator="equal">
      <formula>"No Grade"</formula>
    </cfRule>
  </conditionalFormatting>
  <conditionalFormatting sqref="P43:P44">
    <cfRule type="cellIs" dxfId="445" priority="94" operator="lessThan">
      <formula>25</formula>
    </cfRule>
  </conditionalFormatting>
  <conditionalFormatting sqref="P43">
    <cfRule type="cellIs" dxfId="444" priority="92" operator="equal">
      <formula>"Distinction"</formula>
    </cfRule>
    <cfRule type="cellIs" dxfId="443" priority="93" operator="equal">
      <formula>"Distinction"</formula>
    </cfRule>
  </conditionalFormatting>
  <conditionalFormatting sqref="P43">
    <cfRule type="cellIs" dxfId="442" priority="91" operator="equal">
      <formula>"Merit"</formula>
    </cfRule>
  </conditionalFormatting>
  <conditionalFormatting sqref="P43">
    <cfRule type="cellIs" dxfId="441" priority="90" operator="equal">
      <formula>"Pass"</formula>
    </cfRule>
  </conditionalFormatting>
  <conditionalFormatting sqref="P43">
    <cfRule type="cellIs" dxfId="440" priority="89" operator="equal">
      <formula>"No Grade"</formula>
    </cfRule>
  </conditionalFormatting>
  <conditionalFormatting sqref="P43:P44">
    <cfRule type="cellIs" dxfId="439" priority="88" operator="lessThan">
      <formula>25</formula>
    </cfRule>
  </conditionalFormatting>
  <conditionalFormatting sqref="P43">
    <cfRule type="cellIs" dxfId="438" priority="86" operator="equal">
      <formula>"Distinction"</formula>
    </cfRule>
    <cfRule type="cellIs" dxfId="437" priority="87" operator="equal">
      <formula>"Distinction"</formula>
    </cfRule>
  </conditionalFormatting>
  <conditionalFormatting sqref="P43">
    <cfRule type="cellIs" dxfId="436" priority="85" operator="equal">
      <formula>"Merit"</formula>
    </cfRule>
  </conditionalFormatting>
  <conditionalFormatting sqref="P43">
    <cfRule type="cellIs" dxfId="435" priority="84" operator="equal">
      <formula>"Pass"</formula>
    </cfRule>
  </conditionalFormatting>
  <conditionalFormatting sqref="P43">
    <cfRule type="cellIs" dxfId="434" priority="83" operator="equal">
      <formula>"No Grade"</formula>
    </cfRule>
  </conditionalFormatting>
  <conditionalFormatting sqref="P43:P44">
    <cfRule type="cellIs" dxfId="433" priority="82" operator="lessThan">
      <formula>25</formula>
    </cfRule>
  </conditionalFormatting>
  <conditionalFormatting sqref="P43">
    <cfRule type="cellIs" dxfId="432" priority="80" operator="equal">
      <formula>"Distinction"</formula>
    </cfRule>
    <cfRule type="cellIs" dxfId="431" priority="81" operator="equal">
      <formula>"Distinction"</formula>
    </cfRule>
  </conditionalFormatting>
  <conditionalFormatting sqref="P43">
    <cfRule type="cellIs" dxfId="430" priority="79" operator="equal">
      <formula>"Merit"</formula>
    </cfRule>
  </conditionalFormatting>
  <conditionalFormatting sqref="P43">
    <cfRule type="cellIs" dxfId="429" priority="78" operator="equal">
      <formula>"Pass"</formula>
    </cfRule>
  </conditionalFormatting>
  <conditionalFormatting sqref="P43">
    <cfRule type="cellIs" dxfId="428" priority="77" operator="equal">
      <formula>"No Grade"</formula>
    </cfRule>
  </conditionalFormatting>
  <conditionalFormatting sqref="P43:P44">
    <cfRule type="cellIs" dxfId="427" priority="76" operator="lessThan">
      <formula>25</formula>
    </cfRule>
  </conditionalFormatting>
  <conditionalFormatting sqref="P43">
    <cfRule type="cellIs" dxfId="426" priority="74" operator="equal">
      <formula>"Distinction"</formula>
    </cfRule>
    <cfRule type="cellIs" dxfId="425" priority="75" operator="equal">
      <formula>"Distinction"</formula>
    </cfRule>
  </conditionalFormatting>
  <conditionalFormatting sqref="P43">
    <cfRule type="cellIs" dxfId="424" priority="73" operator="equal">
      <formula>"Merit"</formula>
    </cfRule>
  </conditionalFormatting>
  <conditionalFormatting sqref="P43">
    <cfRule type="cellIs" dxfId="423" priority="72" operator="equal">
      <formula>"Pass"</formula>
    </cfRule>
  </conditionalFormatting>
  <conditionalFormatting sqref="P43">
    <cfRule type="cellIs" dxfId="422" priority="71" operator="equal">
      <formula>"No Grade"</formula>
    </cfRule>
  </conditionalFormatting>
  <conditionalFormatting sqref="P43:P44">
    <cfRule type="cellIs" dxfId="421" priority="69" operator="lessThan">
      <formula>25</formula>
    </cfRule>
    <cfRule type="cellIs" dxfId="420" priority="70" operator="lessThan">
      <formula>25</formula>
    </cfRule>
  </conditionalFormatting>
  <conditionalFormatting sqref="P43">
    <cfRule type="cellIs" dxfId="419" priority="67" operator="equal">
      <formula>"Distinction"</formula>
    </cfRule>
    <cfRule type="cellIs" dxfId="418" priority="68" operator="equal">
      <formula>"Distinction"</formula>
    </cfRule>
  </conditionalFormatting>
  <conditionalFormatting sqref="P43">
    <cfRule type="cellIs" dxfId="417" priority="66" operator="equal">
      <formula>"Merit"</formula>
    </cfRule>
  </conditionalFormatting>
  <conditionalFormatting sqref="P43">
    <cfRule type="cellIs" dxfId="416" priority="65" operator="equal">
      <formula>"Pass"</formula>
    </cfRule>
  </conditionalFormatting>
  <conditionalFormatting sqref="P43">
    <cfRule type="cellIs" dxfId="415" priority="64" operator="equal">
      <formula>"No Grade"</formula>
    </cfRule>
  </conditionalFormatting>
  <conditionalFormatting sqref="P43:P44">
    <cfRule type="cellIs" dxfId="414" priority="63" operator="lessThan">
      <formula>25</formula>
    </cfRule>
  </conditionalFormatting>
  <conditionalFormatting sqref="P43">
    <cfRule type="cellIs" dxfId="413" priority="61" operator="equal">
      <formula>"Distinction"</formula>
    </cfRule>
    <cfRule type="cellIs" dxfId="412" priority="62" operator="equal">
      <formula>"Distinction"</formula>
    </cfRule>
  </conditionalFormatting>
  <conditionalFormatting sqref="P43">
    <cfRule type="cellIs" dxfId="411" priority="60" operator="equal">
      <formula>"Merit"</formula>
    </cfRule>
  </conditionalFormatting>
  <conditionalFormatting sqref="P43">
    <cfRule type="cellIs" dxfId="410" priority="59" operator="equal">
      <formula>"Pass"</formula>
    </cfRule>
  </conditionalFormatting>
  <conditionalFormatting sqref="P43">
    <cfRule type="cellIs" dxfId="409" priority="58" operator="equal">
      <formula>"No Grade"</formula>
    </cfRule>
  </conditionalFormatting>
  <conditionalFormatting sqref="P43:P44">
    <cfRule type="cellIs" dxfId="408" priority="57" operator="lessThan">
      <formula>25</formula>
    </cfRule>
  </conditionalFormatting>
  <conditionalFormatting sqref="P43">
    <cfRule type="cellIs" dxfId="407" priority="55" operator="equal">
      <formula>"Distinction"</formula>
    </cfRule>
    <cfRule type="cellIs" dxfId="406" priority="56" operator="equal">
      <formula>"Distinction"</formula>
    </cfRule>
  </conditionalFormatting>
  <conditionalFormatting sqref="P43">
    <cfRule type="cellIs" dxfId="405" priority="54" operator="equal">
      <formula>"Merit"</formula>
    </cfRule>
  </conditionalFormatting>
  <conditionalFormatting sqref="P43">
    <cfRule type="cellIs" dxfId="404" priority="53" operator="equal">
      <formula>"Pass"</formula>
    </cfRule>
  </conditionalFormatting>
  <conditionalFormatting sqref="P43">
    <cfRule type="cellIs" dxfId="403" priority="52" operator="equal">
      <formula>"No Grade"</formula>
    </cfRule>
  </conditionalFormatting>
  <conditionalFormatting sqref="P43:P44">
    <cfRule type="cellIs" dxfId="402" priority="51" operator="lessThan">
      <formula>25</formula>
    </cfRule>
  </conditionalFormatting>
  <conditionalFormatting sqref="P43">
    <cfRule type="cellIs" dxfId="401" priority="49" operator="equal">
      <formula>"Distinction"</formula>
    </cfRule>
    <cfRule type="cellIs" dxfId="400" priority="50" operator="equal">
      <formula>"Distinction"</formula>
    </cfRule>
  </conditionalFormatting>
  <conditionalFormatting sqref="P43">
    <cfRule type="cellIs" dxfId="399" priority="48" operator="equal">
      <formula>"Merit"</formula>
    </cfRule>
  </conditionalFormatting>
  <conditionalFormatting sqref="P43">
    <cfRule type="cellIs" dxfId="398" priority="47" operator="equal">
      <formula>"Pass"</formula>
    </cfRule>
  </conditionalFormatting>
  <conditionalFormatting sqref="P43">
    <cfRule type="cellIs" dxfId="397" priority="46" operator="equal">
      <formula>"No Grade"</formula>
    </cfRule>
  </conditionalFormatting>
  <conditionalFormatting sqref="P43:P44">
    <cfRule type="cellIs" dxfId="396" priority="44" operator="lessThan">
      <formula>25</formula>
    </cfRule>
    <cfRule type="cellIs" dxfId="395" priority="45" operator="lessThan">
      <formula>25</formula>
    </cfRule>
  </conditionalFormatting>
  <conditionalFormatting sqref="P43">
    <cfRule type="cellIs" dxfId="394" priority="42" operator="equal">
      <formula>"Distinction"</formula>
    </cfRule>
    <cfRule type="cellIs" dxfId="393" priority="43" operator="equal">
      <formula>"Distinction"</formula>
    </cfRule>
  </conditionalFormatting>
  <conditionalFormatting sqref="P43">
    <cfRule type="cellIs" dxfId="392" priority="41" operator="equal">
      <formula>"Merit"</formula>
    </cfRule>
  </conditionalFormatting>
  <conditionalFormatting sqref="P43">
    <cfRule type="cellIs" dxfId="391" priority="40" operator="equal">
      <formula>"Pass"</formula>
    </cfRule>
  </conditionalFormatting>
  <conditionalFormatting sqref="P43">
    <cfRule type="cellIs" dxfId="390" priority="39" operator="equal">
      <formula>"No Grade"</formula>
    </cfRule>
  </conditionalFormatting>
  <conditionalFormatting sqref="P43:P44">
    <cfRule type="cellIs" dxfId="389" priority="38" operator="lessThan">
      <formula>25</formula>
    </cfRule>
  </conditionalFormatting>
  <conditionalFormatting sqref="P43">
    <cfRule type="cellIs" dxfId="388" priority="36" operator="equal">
      <formula>"Distinction"</formula>
    </cfRule>
    <cfRule type="cellIs" dxfId="387" priority="37" operator="equal">
      <formula>"Distinction"</formula>
    </cfRule>
  </conditionalFormatting>
  <conditionalFormatting sqref="P43">
    <cfRule type="cellIs" dxfId="386" priority="35" operator="equal">
      <formula>"Merit"</formula>
    </cfRule>
  </conditionalFormatting>
  <conditionalFormatting sqref="P43">
    <cfRule type="cellIs" dxfId="385" priority="34" operator="equal">
      <formula>"Pass"</formula>
    </cfRule>
  </conditionalFormatting>
  <conditionalFormatting sqref="P43">
    <cfRule type="cellIs" dxfId="384" priority="33" operator="equal">
      <formula>"No Grade"</formula>
    </cfRule>
  </conditionalFormatting>
  <conditionalFormatting sqref="P43:P44">
    <cfRule type="cellIs" dxfId="383" priority="32" operator="lessThan">
      <formula>25</formula>
    </cfRule>
  </conditionalFormatting>
  <conditionalFormatting sqref="P43">
    <cfRule type="cellIs" dxfId="382" priority="30" operator="equal">
      <formula>"Distinction"</formula>
    </cfRule>
    <cfRule type="cellIs" dxfId="381" priority="31" operator="equal">
      <formula>"Distinction"</formula>
    </cfRule>
  </conditionalFormatting>
  <conditionalFormatting sqref="P43">
    <cfRule type="cellIs" dxfId="380" priority="29" operator="equal">
      <formula>"Merit"</formula>
    </cfRule>
  </conditionalFormatting>
  <conditionalFormatting sqref="P43">
    <cfRule type="cellIs" dxfId="379" priority="28" operator="equal">
      <formula>"Pass"</formula>
    </cfRule>
  </conditionalFormatting>
  <conditionalFormatting sqref="P43">
    <cfRule type="cellIs" dxfId="378" priority="27" operator="equal">
      <formula>"No Grade"</formula>
    </cfRule>
  </conditionalFormatting>
  <conditionalFormatting sqref="P43:P44">
    <cfRule type="cellIs" dxfId="377" priority="25" operator="lessThan">
      <formula>25</formula>
    </cfRule>
    <cfRule type="cellIs" dxfId="376" priority="26" operator="lessThan">
      <formula>25</formula>
    </cfRule>
  </conditionalFormatting>
  <conditionalFormatting sqref="P43">
    <cfRule type="cellIs" dxfId="375" priority="23" operator="equal">
      <formula>"Distinction"</formula>
    </cfRule>
    <cfRule type="cellIs" dxfId="374" priority="24" operator="equal">
      <formula>"Distinction"</formula>
    </cfRule>
  </conditionalFormatting>
  <conditionalFormatting sqref="P43">
    <cfRule type="cellIs" dxfId="373" priority="22" operator="equal">
      <formula>"Merit"</formula>
    </cfRule>
  </conditionalFormatting>
  <conditionalFormatting sqref="P43">
    <cfRule type="cellIs" dxfId="372" priority="21" operator="equal">
      <formula>"Pass"</formula>
    </cfRule>
  </conditionalFormatting>
  <conditionalFormatting sqref="P43">
    <cfRule type="cellIs" dxfId="371" priority="20" operator="equal">
      <formula>"No Grade"</formula>
    </cfRule>
  </conditionalFormatting>
  <conditionalFormatting sqref="P43:P44">
    <cfRule type="cellIs" dxfId="370" priority="19" operator="lessThan">
      <formula>25</formula>
    </cfRule>
  </conditionalFormatting>
  <conditionalFormatting sqref="P43">
    <cfRule type="cellIs" dxfId="369" priority="17" operator="equal">
      <formula>"Distinction"</formula>
    </cfRule>
    <cfRule type="cellIs" dxfId="368" priority="18" operator="equal">
      <formula>"Distinction"</formula>
    </cfRule>
  </conditionalFormatting>
  <conditionalFormatting sqref="P43">
    <cfRule type="cellIs" dxfId="367" priority="16" operator="equal">
      <formula>"Merit"</formula>
    </cfRule>
  </conditionalFormatting>
  <conditionalFormatting sqref="P43">
    <cfRule type="cellIs" dxfId="366" priority="15" operator="equal">
      <formula>"Pass"</formula>
    </cfRule>
  </conditionalFormatting>
  <conditionalFormatting sqref="P43">
    <cfRule type="cellIs" dxfId="365" priority="14" operator="equal">
      <formula>"No Grade"</formula>
    </cfRule>
  </conditionalFormatting>
  <conditionalFormatting sqref="P43:P44">
    <cfRule type="cellIs" dxfId="364" priority="12" operator="lessThan">
      <formula>25</formula>
    </cfRule>
    <cfRule type="cellIs" dxfId="363" priority="13" operator="lessThan">
      <formula>25</formula>
    </cfRule>
  </conditionalFormatting>
  <conditionalFormatting sqref="P43">
    <cfRule type="cellIs" dxfId="362" priority="10" operator="equal">
      <formula>"Distinction"</formula>
    </cfRule>
    <cfRule type="cellIs" dxfId="361" priority="11" operator="equal">
      <formula>"Distinction"</formula>
    </cfRule>
  </conditionalFormatting>
  <conditionalFormatting sqref="P43">
    <cfRule type="cellIs" dxfId="360" priority="9" operator="equal">
      <formula>"Merit"</formula>
    </cfRule>
  </conditionalFormatting>
  <conditionalFormatting sqref="P43">
    <cfRule type="cellIs" dxfId="359" priority="8" operator="equal">
      <formula>"Pass"</formula>
    </cfRule>
  </conditionalFormatting>
  <conditionalFormatting sqref="P43">
    <cfRule type="cellIs" dxfId="358" priority="7" operator="equal">
      <formula>"No Grade"</formula>
    </cfRule>
  </conditionalFormatting>
  <conditionalFormatting sqref="P43:P44">
    <cfRule type="cellIs" dxfId="357" priority="4" operator="lessThan">
      <formula>25</formula>
    </cfRule>
    <cfRule type="cellIs" dxfId="356" priority="5" operator="lessThan">
      <formula>25</formula>
    </cfRule>
    <cfRule type="cellIs" dxfId="355" priority="6" operator="lessThan">
      <formula>25</formula>
    </cfRule>
  </conditionalFormatting>
  <conditionalFormatting sqref="C7:H13">
    <cfRule type="cellIs" dxfId="354" priority="1" operator="equal">
      <formula>"No Risk"</formula>
    </cfRule>
    <cfRule type="cellIs" dxfId="353" priority="2" operator="equal">
      <formula>"No Risk"</formula>
    </cfRule>
    <cfRule type="cellIs" dxfId="352" priority="3" operator="equal">
      <formula>"This student is at risk"</formula>
    </cfRule>
  </conditionalFormatting>
  <pageMargins left="0.7" right="0.7" top="0.75" bottom="0.75" header="0.3" footer="0.3"/>
  <pageSetup paperSize="9" orientation="portrait" horizontalDpi="300" r:id="rId1"/>
  <drawing r:id="rId2"/>
  <extLst>
    <ext xmlns:x14="http://schemas.microsoft.com/office/spreadsheetml/2009/9/main" uri="{CCE6A557-97BC-4b89-ADB6-D9C93CAAB3DF}">
      <x14:dataValidations xmlns:xm="http://schemas.microsoft.com/office/excel/2006/main" count="1">
        <x14:dataValidation type="list" operator="lessThan" allowBlank="1" showInputMessage="1" showErrorMessage="1" xr:uid="{00000000-0002-0000-0100-000000000000}">
          <x14:formula1>
            <xm:f>Data_valid!$A$4:$A$93</xm:f>
          </x14:formula1>
          <xm:sqref>P7:R8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93"/>
  <sheetViews>
    <sheetView workbookViewId="0">
      <selection activeCell="F17" sqref="F17"/>
    </sheetView>
  </sheetViews>
  <sheetFormatPr defaultRowHeight="14.4" x14ac:dyDescent="0.3"/>
  <cols>
    <col min="1" max="1" width="11.44140625" bestFit="1" customWidth="1"/>
  </cols>
  <sheetData>
    <row r="1" spans="1:1" x14ac:dyDescent="0.3">
      <c r="A1" s="94" t="s">
        <v>1</v>
      </c>
    </row>
    <row r="2" spans="1:1" x14ac:dyDescent="0.3">
      <c r="A2" s="95"/>
    </row>
    <row r="3" spans="1:1" x14ac:dyDescent="0.3">
      <c r="A3" s="96"/>
    </row>
    <row r="4" spans="1:1" x14ac:dyDescent="0.3">
      <c r="A4" s="34" t="s">
        <v>24</v>
      </c>
    </row>
    <row r="5" spans="1:1" x14ac:dyDescent="0.3">
      <c r="A5" s="34" t="s">
        <v>26</v>
      </c>
    </row>
    <row r="6" spans="1:1" x14ac:dyDescent="0.3">
      <c r="A6" s="34" t="s">
        <v>50</v>
      </c>
    </row>
    <row r="7" spans="1:1" x14ac:dyDescent="0.3">
      <c r="A7" s="34" t="s">
        <v>69</v>
      </c>
    </row>
    <row r="8" spans="1:1" x14ac:dyDescent="0.3">
      <c r="A8" s="35" t="s">
        <v>68</v>
      </c>
    </row>
    <row r="9" spans="1:1" x14ac:dyDescent="0.3">
      <c r="A9" s="34" t="s">
        <v>14</v>
      </c>
    </row>
    <row r="10" spans="1:1" x14ac:dyDescent="0.3">
      <c r="A10" s="35" t="s">
        <v>43</v>
      </c>
    </row>
    <row r="11" spans="1:1" x14ac:dyDescent="0.3">
      <c r="A11" s="35" t="s">
        <v>51</v>
      </c>
    </row>
    <row r="12" spans="1:1" x14ac:dyDescent="0.3">
      <c r="A12" s="35" t="s">
        <v>41</v>
      </c>
    </row>
    <row r="13" spans="1:1" x14ac:dyDescent="0.3">
      <c r="A13" s="34" t="s">
        <v>48</v>
      </c>
    </row>
    <row r="14" spans="1:1" x14ac:dyDescent="0.3">
      <c r="A14" s="35" t="s">
        <v>17</v>
      </c>
    </row>
    <row r="15" spans="1:1" x14ac:dyDescent="0.3">
      <c r="A15" s="34" t="s">
        <v>20</v>
      </c>
    </row>
    <row r="16" spans="1:1" x14ac:dyDescent="0.3">
      <c r="A16" s="34" t="s">
        <v>18</v>
      </c>
    </row>
    <row r="17" spans="1:1" x14ac:dyDescent="0.3">
      <c r="A17" s="34" t="s">
        <v>22</v>
      </c>
    </row>
    <row r="18" spans="1:1" x14ac:dyDescent="0.3">
      <c r="A18" s="35" t="s">
        <v>49</v>
      </c>
    </row>
    <row r="19" spans="1:1" x14ac:dyDescent="0.3">
      <c r="A19" s="35" t="s">
        <v>19</v>
      </c>
    </row>
    <row r="20" spans="1:1" x14ac:dyDescent="0.3">
      <c r="A20" s="34" t="s">
        <v>65</v>
      </c>
    </row>
    <row r="21" spans="1:1" x14ac:dyDescent="0.3">
      <c r="A21" s="35" t="s">
        <v>66</v>
      </c>
    </row>
    <row r="22" spans="1:1" x14ac:dyDescent="0.3">
      <c r="A22" s="35" t="s">
        <v>47</v>
      </c>
    </row>
    <row r="23" spans="1:1" x14ac:dyDescent="0.3">
      <c r="A23" s="35" t="s">
        <v>13</v>
      </c>
    </row>
    <row r="24" spans="1:1" x14ac:dyDescent="0.3">
      <c r="A24" s="35" t="s">
        <v>21</v>
      </c>
    </row>
    <row r="25" spans="1:1" x14ac:dyDescent="0.3">
      <c r="A25" s="34" t="s">
        <v>16</v>
      </c>
    </row>
    <row r="26" spans="1:1" x14ac:dyDescent="0.3">
      <c r="A26" s="35" t="s">
        <v>25</v>
      </c>
    </row>
    <row r="27" spans="1:1" x14ac:dyDescent="0.3">
      <c r="A27" s="35" t="s">
        <v>23</v>
      </c>
    </row>
    <row r="28" spans="1:1" x14ac:dyDescent="0.3">
      <c r="A28" s="35" t="s">
        <v>45</v>
      </c>
    </row>
    <row r="29" spans="1:1" x14ac:dyDescent="0.3">
      <c r="A29" s="34" t="s">
        <v>67</v>
      </c>
    </row>
    <row r="30" spans="1:1" x14ac:dyDescent="0.3">
      <c r="A30" s="34" t="s">
        <v>42</v>
      </c>
    </row>
    <row r="31" spans="1:1" x14ac:dyDescent="0.3">
      <c r="A31" s="34" t="s">
        <v>46</v>
      </c>
    </row>
    <row r="32" spans="1:1" x14ac:dyDescent="0.3">
      <c r="A32" s="35" t="s">
        <v>15</v>
      </c>
    </row>
    <row r="33" spans="1:1" x14ac:dyDescent="0.3">
      <c r="A33" s="34" t="s">
        <v>44</v>
      </c>
    </row>
    <row r="34" spans="1:1" x14ac:dyDescent="0.3">
      <c r="A34" s="34" t="s">
        <v>115</v>
      </c>
    </row>
    <row r="35" spans="1:1" x14ac:dyDescent="0.3">
      <c r="A35" s="34" t="s">
        <v>117</v>
      </c>
    </row>
    <row r="36" spans="1:1" x14ac:dyDescent="0.3">
      <c r="A36" s="35" t="s">
        <v>92</v>
      </c>
    </row>
    <row r="37" spans="1:1" x14ac:dyDescent="0.3">
      <c r="A37" s="35" t="s">
        <v>100</v>
      </c>
    </row>
    <row r="38" spans="1:1" x14ac:dyDescent="0.3">
      <c r="A38" s="34" t="s">
        <v>119</v>
      </c>
    </row>
    <row r="39" spans="1:1" x14ac:dyDescent="0.3">
      <c r="A39" s="34" t="s">
        <v>97</v>
      </c>
    </row>
    <row r="40" spans="1:1" x14ac:dyDescent="0.3">
      <c r="A40" s="34" t="s">
        <v>105</v>
      </c>
    </row>
    <row r="41" spans="1:1" x14ac:dyDescent="0.3">
      <c r="A41" s="34" t="s">
        <v>109</v>
      </c>
    </row>
    <row r="42" spans="1:1" x14ac:dyDescent="0.3">
      <c r="A42" s="35" t="s">
        <v>98</v>
      </c>
    </row>
    <row r="43" spans="1:1" x14ac:dyDescent="0.3">
      <c r="A43" s="35" t="s">
        <v>94</v>
      </c>
    </row>
    <row r="44" spans="1:1" x14ac:dyDescent="0.3">
      <c r="A44" s="34" t="s">
        <v>103</v>
      </c>
    </row>
    <row r="45" spans="1:1" x14ac:dyDescent="0.3">
      <c r="A45" s="34" t="s">
        <v>91</v>
      </c>
    </row>
    <row r="46" spans="1:1" x14ac:dyDescent="0.3">
      <c r="A46" s="34" t="s">
        <v>113</v>
      </c>
    </row>
    <row r="47" spans="1:1" x14ac:dyDescent="0.3">
      <c r="A47" s="34" t="s">
        <v>107</v>
      </c>
    </row>
    <row r="48" spans="1:1" x14ac:dyDescent="0.3">
      <c r="A48" s="34" t="s">
        <v>101</v>
      </c>
    </row>
    <row r="49" spans="1:1" x14ac:dyDescent="0.3">
      <c r="A49" s="35" t="s">
        <v>104</v>
      </c>
    </row>
    <row r="50" spans="1:1" x14ac:dyDescent="0.3">
      <c r="A50" s="35" t="s">
        <v>106</v>
      </c>
    </row>
    <row r="51" spans="1:1" x14ac:dyDescent="0.3">
      <c r="A51" s="34" t="s">
        <v>99</v>
      </c>
    </row>
    <row r="52" spans="1:1" x14ac:dyDescent="0.3">
      <c r="A52" s="35" t="s">
        <v>112</v>
      </c>
    </row>
    <row r="53" spans="1:1" x14ac:dyDescent="0.3">
      <c r="A53" s="35" t="s">
        <v>102</v>
      </c>
    </row>
    <row r="54" spans="1:1" x14ac:dyDescent="0.3">
      <c r="A54" s="35" t="s">
        <v>114</v>
      </c>
    </row>
    <row r="55" spans="1:1" x14ac:dyDescent="0.3">
      <c r="A55" s="34" t="s">
        <v>93</v>
      </c>
    </row>
    <row r="56" spans="1:1" x14ac:dyDescent="0.3">
      <c r="A56" s="35" t="s">
        <v>118</v>
      </c>
    </row>
    <row r="57" spans="1:1" x14ac:dyDescent="0.3">
      <c r="A57" s="35" t="s">
        <v>108</v>
      </c>
    </row>
    <row r="58" spans="1:1" x14ac:dyDescent="0.3">
      <c r="A58" s="34" t="s">
        <v>95</v>
      </c>
    </row>
    <row r="59" spans="1:1" x14ac:dyDescent="0.3">
      <c r="A59" s="35" t="s">
        <v>110</v>
      </c>
    </row>
    <row r="60" spans="1:1" x14ac:dyDescent="0.3">
      <c r="A60" s="34" t="s">
        <v>111</v>
      </c>
    </row>
    <row r="61" spans="1:1" x14ac:dyDescent="0.3">
      <c r="A61" s="35" t="s">
        <v>96</v>
      </c>
    </row>
    <row r="62" spans="1:1" x14ac:dyDescent="0.3">
      <c r="A62" s="35" t="s">
        <v>90</v>
      </c>
    </row>
    <row r="63" spans="1:1" x14ac:dyDescent="0.3">
      <c r="A63" s="35" t="s">
        <v>116</v>
      </c>
    </row>
    <row r="64" spans="1:1" x14ac:dyDescent="0.3">
      <c r="A64" s="34" t="s">
        <v>159</v>
      </c>
    </row>
    <row r="65" spans="1:1" x14ac:dyDescent="0.3">
      <c r="A65" s="35" t="s">
        <v>154</v>
      </c>
    </row>
    <row r="66" spans="1:1" x14ac:dyDescent="0.3">
      <c r="A66" s="35" t="s">
        <v>150</v>
      </c>
    </row>
    <row r="67" spans="1:1" x14ac:dyDescent="0.3">
      <c r="A67" s="35" t="s">
        <v>164</v>
      </c>
    </row>
    <row r="68" spans="1:1" x14ac:dyDescent="0.3">
      <c r="A68" s="34" t="s">
        <v>169</v>
      </c>
    </row>
    <row r="69" spans="1:1" x14ac:dyDescent="0.3">
      <c r="A69" s="34" t="s">
        <v>197</v>
      </c>
    </row>
    <row r="70" spans="1:1" x14ac:dyDescent="0.3">
      <c r="A70" s="35" t="s">
        <v>198</v>
      </c>
    </row>
    <row r="71" spans="1:1" x14ac:dyDescent="0.3">
      <c r="A71" s="34" t="s">
        <v>193</v>
      </c>
    </row>
    <row r="72" spans="1:1" x14ac:dyDescent="0.3">
      <c r="A72" s="34" t="s">
        <v>167</v>
      </c>
    </row>
    <row r="73" spans="1:1" x14ac:dyDescent="0.3">
      <c r="A73" s="34" t="s">
        <v>153</v>
      </c>
    </row>
    <row r="74" spans="1:1" x14ac:dyDescent="0.3">
      <c r="A74" s="35" t="s">
        <v>194</v>
      </c>
    </row>
    <row r="75" spans="1:1" x14ac:dyDescent="0.3">
      <c r="A75" s="35" t="s">
        <v>192</v>
      </c>
    </row>
    <row r="76" spans="1:1" x14ac:dyDescent="0.3">
      <c r="A76" s="35" t="s">
        <v>156</v>
      </c>
    </row>
    <row r="77" spans="1:1" x14ac:dyDescent="0.3">
      <c r="A77" s="34" t="s">
        <v>199</v>
      </c>
    </row>
    <row r="78" spans="1:1" x14ac:dyDescent="0.3">
      <c r="A78" s="34" t="s">
        <v>155</v>
      </c>
    </row>
    <row r="79" spans="1:1" x14ac:dyDescent="0.3">
      <c r="A79" s="35" t="s">
        <v>196</v>
      </c>
    </row>
    <row r="80" spans="1:1" x14ac:dyDescent="0.3">
      <c r="A80" s="34" t="s">
        <v>151</v>
      </c>
    </row>
    <row r="81" spans="1:1" x14ac:dyDescent="0.3">
      <c r="A81" s="34" t="s">
        <v>195</v>
      </c>
    </row>
    <row r="82" spans="1:1" x14ac:dyDescent="0.3">
      <c r="A82" s="35" t="s">
        <v>152</v>
      </c>
    </row>
    <row r="83" spans="1:1" x14ac:dyDescent="0.3">
      <c r="A83" s="35" t="s">
        <v>166</v>
      </c>
    </row>
    <row r="84" spans="1:1" x14ac:dyDescent="0.3">
      <c r="A84" s="35" t="s">
        <v>168</v>
      </c>
    </row>
    <row r="85" spans="1:1" x14ac:dyDescent="0.3">
      <c r="A85" s="35" t="s">
        <v>190</v>
      </c>
    </row>
    <row r="86" spans="1:1" x14ac:dyDescent="0.3">
      <c r="A86" s="35" t="s">
        <v>162</v>
      </c>
    </row>
    <row r="87" spans="1:1" x14ac:dyDescent="0.3">
      <c r="A87" s="34" t="s">
        <v>191</v>
      </c>
    </row>
    <row r="88" spans="1:1" x14ac:dyDescent="0.3">
      <c r="A88" s="35" t="s">
        <v>160</v>
      </c>
    </row>
    <row r="89" spans="1:1" x14ac:dyDescent="0.3">
      <c r="A89" s="35" t="s">
        <v>158</v>
      </c>
    </row>
    <row r="90" spans="1:1" x14ac:dyDescent="0.3">
      <c r="A90" s="34" t="s">
        <v>161</v>
      </c>
    </row>
    <row r="91" spans="1:1" x14ac:dyDescent="0.3">
      <c r="A91" s="34" t="s">
        <v>163</v>
      </c>
    </row>
    <row r="92" spans="1:1" x14ac:dyDescent="0.3">
      <c r="A92" s="34" t="s">
        <v>165</v>
      </c>
    </row>
    <row r="93" spans="1:1" x14ac:dyDescent="0.3">
      <c r="A93" s="34" t="s">
        <v>157</v>
      </c>
    </row>
  </sheetData>
  <sheetProtection sheet="1" objects="1" scenarios="1"/>
  <mergeCells count="1">
    <mergeCell ref="A1:A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D64"/>
  <sheetViews>
    <sheetView zoomScale="55" zoomScaleNormal="55" workbookViewId="0">
      <pane xSplit="1" topLeftCell="B1" activePane="topRight" state="frozen"/>
      <selection activeCell="B5" sqref="B5:G28"/>
      <selection pane="topRight" sqref="A1:AD2"/>
    </sheetView>
  </sheetViews>
  <sheetFormatPr defaultRowHeight="14.4" x14ac:dyDescent="0.3"/>
  <cols>
    <col min="1" max="1" width="15.109375" bestFit="1" customWidth="1"/>
    <col min="2" max="2" width="23.6640625" customWidth="1"/>
    <col min="3" max="3" width="10.6640625" bestFit="1" customWidth="1"/>
    <col min="4" max="4" width="14.6640625" customWidth="1"/>
    <col min="5" max="5" width="13.6640625" bestFit="1" customWidth="1"/>
    <col min="6" max="6" width="7.6640625" customWidth="1"/>
    <col min="7" max="7" width="11" customWidth="1"/>
    <col min="8" max="8" width="17.33203125" bestFit="1" customWidth="1"/>
    <col min="9" max="9" width="7.6640625" bestFit="1" customWidth="1"/>
    <col min="10" max="10" width="11" bestFit="1" customWidth="1"/>
    <col min="11" max="11" width="15.6640625" bestFit="1" customWidth="1"/>
    <col min="12" max="12" width="7.6640625" bestFit="1" customWidth="1"/>
    <col min="13" max="13" width="11" bestFit="1" customWidth="1"/>
    <col min="14" max="14" width="15.6640625" bestFit="1" customWidth="1"/>
    <col min="15" max="15" width="7.6640625" bestFit="1" customWidth="1"/>
    <col min="16" max="16" width="11" bestFit="1" customWidth="1"/>
    <col min="17" max="17" width="15.6640625" bestFit="1" customWidth="1"/>
    <col min="18" max="18" width="27.44140625" bestFit="1" customWidth="1"/>
    <col min="19" max="19" width="7.6640625" bestFit="1" customWidth="1"/>
    <col min="20" max="20" width="11" bestFit="1" customWidth="1"/>
    <col min="21" max="21" width="15.6640625" bestFit="1" customWidth="1"/>
    <col min="22" max="22" width="7.6640625" bestFit="1" customWidth="1"/>
    <col min="23" max="23" width="11" bestFit="1" customWidth="1"/>
    <col min="24" max="24" width="15.6640625" bestFit="1" customWidth="1"/>
    <col min="25" max="25" width="7.6640625" bestFit="1" customWidth="1"/>
    <col min="26" max="26" width="11" bestFit="1" customWidth="1"/>
    <col min="27" max="27" width="15.6640625" bestFit="1" customWidth="1"/>
    <col min="28" max="28" width="7.6640625" bestFit="1" customWidth="1"/>
    <col min="29" max="29" width="11" bestFit="1" customWidth="1"/>
    <col min="30" max="30" width="15.6640625" bestFit="1" customWidth="1"/>
  </cols>
  <sheetData>
    <row r="1" spans="1:30" ht="14.4" customHeight="1" x14ac:dyDescent="0.3">
      <c r="A1" s="114" t="s">
        <v>270</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6"/>
    </row>
    <row r="2" spans="1:30" ht="14.4" customHeight="1" x14ac:dyDescent="0.3">
      <c r="A2" s="117"/>
      <c r="B2" s="118"/>
      <c r="C2" s="118"/>
      <c r="D2" s="118"/>
      <c r="E2" s="118"/>
      <c r="F2" s="118"/>
      <c r="G2" s="118"/>
      <c r="H2" s="118"/>
      <c r="I2" s="118"/>
      <c r="J2" s="118"/>
      <c r="K2" s="118"/>
      <c r="L2" s="118"/>
      <c r="M2" s="118"/>
      <c r="N2" s="118"/>
      <c r="O2" s="118"/>
      <c r="P2" s="118"/>
      <c r="Q2" s="118"/>
      <c r="R2" s="118"/>
      <c r="S2" s="118"/>
      <c r="T2" s="118"/>
      <c r="U2" s="118"/>
      <c r="V2" s="118"/>
      <c r="W2" s="118"/>
      <c r="X2" s="118"/>
      <c r="Y2" s="118"/>
      <c r="Z2" s="118"/>
      <c r="AA2" s="118"/>
      <c r="AB2" s="118"/>
      <c r="AC2" s="118"/>
      <c r="AD2" s="119"/>
    </row>
    <row r="3" spans="1:30" ht="14.4" customHeight="1" x14ac:dyDescent="0.3">
      <c r="A3" s="97" t="s">
        <v>1</v>
      </c>
      <c r="B3" s="97" t="s">
        <v>2</v>
      </c>
      <c r="C3" s="97" t="s">
        <v>4</v>
      </c>
      <c r="D3" s="97" t="s">
        <v>210</v>
      </c>
      <c r="E3" s="97" t="s">
        <v>3</v>
      </c>
      <c r="F3" s="120" t="s">
        <v>5</v>
      </c>
      <c r="G3" s="120"/>
      <c r="H3" s="120"/>
      <c r="I3" s="120"/>
      <c r="J3" s="120"/>
      <c r="K3" s="120"/>
      <c r="L3" s="120"/>
      <c r="M3" s="120"/>
      <c r="N3" s="120"/>
      <c r="O3" s="120"/>
      <c r="P3" s="120"/>
      <c r="Q3" s="120"/>
      <c r="R3" s="121" t="s">
        <v>87</v>
      </c>
      <c r="S3" s="120" t="s">
        <v>12</v>
      </c>
      <c r="T3" s="120"/>
      <c r="U3" s="120"/>
      <c r="V3" s="120"/>
      <c r="W3" s="120"/>
      <c r="X3" s="120"/>
      <c r="Y3" s="120"/>
      <c r="Z3" s="120"/>
      <c r="AA3" s="120"/>
      <c r="AB3" s="120"/>
      <c r="AC3" s="120"/>
      <c r="AD3" s="120"/>
    </row>
    <row r="4" spans="1:30" ht="14.4" customHeight="1" x14ac:dyDescent="0.3">
      <c r="A4" s="98"/>
      <c r="B4" s="98"/>
      <c r="C4" s="98"/>
      <c r="D4" s="98"/>
      <c r="E4" s="98"/>
      <c r="F4" s="120" t="s">
        <v>6</v>
      </c>
      <c r="G4" s="120"/>
      <c r="H4" s="120"/>
      <c r="I4" s="120" t="s">
        <v>10</v>
      </c>
      <c r="J4" s="120"/>
      <c r="K4" s="120"/>
      <c r="L4" s="120" t="s">
        <v>269</v>
      </c>
      <c r="M4" s="120"/>
      <c r="N4" s="120"/>
      <c r="O4" s="120" t="s">
        <v>11</v>
      </c>
      <c r="P4" s="120"/>
      <c r="Q4" s="120"/>
      <c r="R4" s="122"/>
      <c r="S4" s="120" t="s">
        <v>6</v>
      </c>
      <c r="T4" s="120"/>
      <c r="U4" s="120"/>
      <c r="V4" s="120" t="s">
        <v>10</v>
      </c>
      <c r="W4" s="120"/>
      <c r="X4" s="120"/>
      <c r="Y4" s="120" t="s">
        <v>269</v>
      </c>
      <c r="Z4" s="120"/>
      <c r="AA4" s="120"/>
      <c r="AB4" s="120" t="s">
        <v>11</v>
      </c>
      <c r="AC4" s="120"/>
      <c r="AD4" s="120"/>
    </row>
    <row r="5" spans="1:30" ht="14.4" customHeight="1" x14ac:dyDescent="0.3">
      <c r="A5" s="99"/>
      <c r="B5" s="99"/>
      <c r="C5" s="99"/>
      <c r="D5" s="99"/>
      <c r="E5" s="99"/>
      <c r="F5" s="46" t="s">
        <v>7</v>
      </c>
      <c r="G5" s="46" t="s">
        <v>8</v>
      </c>
      <c r="H5" s="46" t="s">
        <v>9</v>
      </c>
      <c r="I5" s="46" t="s">
        <v>7</v>
      </c>
      <c r="J5" s="46" t="s">
        <v>8</v>
      </c>
      <c r="K5" s="46" t="s">
        <v>9</v>
      </c>
      <c r="L5" s="46" t="s">
        <v>7</v>
      </c>
      <c r="M5" s="46" t="s">
        <v>8</v>
      </c>
      <c r="N5" s="46" t="s">
        <v>9</v>
      </c>
      <c r="O5" s="46" t="s">
        <v>7</v>
      </c>
      <c r="P5" s="46" t="s">
        <v>8</v>
      </c>
      <c r="Q5" s="46" t="s">
        <v>9</v>
      </c>
      <c r="R5" s="123"/>
      <c r="S5" s="46" t="s">
        <v>7</v>
      </c>
      <c r="T5" s="46" t="s">
        <v>8</v>
      </c>
      <c r="U5" s="46" t="s">
        <v>9</v>
      </c>
      <c r="V5" s="46" t="s">
        <v>7</v>
      </c>
      <c r="W5" s="46" t="s">
        <v>8</v>
      </c>
      <c r="X5" s="46" t="s">
        <v>9</v>
      </c>
      <c r="Y5" s="46" t="s">
        <v>7</v>
      </c>
      <c r="Z5" s="46" t="s">
        <v>8</v>
      </c>
      <c r="AA5" s="46" t="s">
        <v>9</v>
      </c>
      <c r="AB5" s="46" t="s">
        <v>7</v>
      </c>
      <c r="AC5" s="46" t="s">
        <v>8</v>
      </c>
      <c r="AD5" s="46" t="s">
        <v>9</v>
      </c>
    </row>
    <row r="6" spans="1:30" x14ac:dyDescent="0.3">
      <c r="A6" s="47" t="s">
        <v>24</v>
      </c>
      <c r="B6" s="48" t="s">
        <v>55</v>
      </c>
      <c r="C6" s="48" t="s">
        <v>64</v>
      </c>
      <c r="D6" s="51">
        <v>6514455665</v>
      </c>
      <c r="E6" s="10" t="s">
        <v>222</v>
      </c>
      <c r="F6" s="51">
        <v>40</v>
      </c>
      <c r="G6" s="49" t="str">
        <f t="shared" ref="G6:G35" si="0">IF(F6&gt;=40,"Distinction",IF(F6&gt;=30,"Merit",IF(F6&gt;=10,"Pass",IF(F6&gt;=0,"No Grade"))))</f>
        <v>Distinction</v>
      </c>
      <c r="H6" s="3">
        <f t="shared" ref="H6:H35" si="1">F6/50</f>
        <v>0.8</v>
      </c>
      <c r="I6" s="51">
        <v>12</v>
      </c>
      <c r="J6" s="49" t="str">
        <f t="shared" ref="J6:J35" si="2">IF(I6&gt;=40,"Distinction",IF(I6&gt;=30,"Merit",IF(I6&gt;=10,"Pass",IF(I6&gt;=0,"No Grade"))))</f>
        <v>Pass</v>
      </c>
      <c r="K6" s="3">
        <f t="shared" ref="K6:K35" si="3">I6/50</f>
        <v>0.24</v>
      </c>
      <c r="L6" s="51">
        <v>27</v>
      </c>
      <c r="M6" s="49" t="str">
        <f t="shared" ref="M6:M35" si="4">IF(L6&gt;=40,"Distinction",IF(L6&gt;=30,"Merit",IF(L6&gt;=10,"Pass",IF(L6&gt;=0,"No Grade"))))</f>
        <v>Pass</v>
      </c>
      <c r="N6" s="3">
        <f t="shared" ref="N6:N35" si="5">L6/50</f>
        <v>0.54</v>
      </c>
      <c r="O6" s="51">
        <v>44</v>
      </c>
      <c r="P6" s="49" t="str">
        <f t="shared" ref="P6:P35" si="6">IF(O6&gt;=40,"Distinction",IF(O6&gt;=30,"Merit",IF(O6&gt;=10,"Pass",IF(O6&gt;=0,"No Grade"))))</f>
        <v>Distinction</v>
      </c>
      <c r="Q6" s="3">
        <f t="shared" ref="Q6:Q35" si="7">O6/50</f>
        <v>0.88</v>
      </c>
      <c r="R6" s="55">
        <f t="shared" ref="R6:R35" si="8">F6+I6+L6+O6</f>
        <v>123</v>
      </c>
      <c r="S6" s="54">
        <v>23</v>
      </c>
      <c r="T6" s="49" t="str">
        <f t="shared" ref="T6:T35" si="9">IF(S6&gt;=40,"Distinction",IF(S6&gt;=30,"Merit",IF(S6&gt;=10,"Pass",IF(S6&gt;=0,"No Grade"))))</f>
        <v>Pass</v>
      </c>
      <c r="U6" s="4">
        <f t="shared" ref="U6:U35" si="10">S6/50</f>
        <v>0.46</v>
      </c>
      <c r="V6" s="54">
        <v>42</v>
      </c>
      <c r="W6" s="49" t="str">
        <f t="shared" ref="W6:W35" si="11">IF(V6&gt;=40,"Distinction",IF(V6&gt;=30,"Merit",IF(V6&gt;=10,"Pass",IF(V6&gt;=0,"No Grade"))))</f>
        <v>Distinction</v>
      </c>
      <c r="X6" s="4">
        <f t="shared" ref="X6:X35" si="12">V6/50</f>
        <v>0.84</v>
      </c>
      <c r="Y6" s="54">
        <v>22</v>
      </c>
      <c r="Z6" s="49" t="str">
        <f t="shared" ref="Z6:Z35" si="13">IF(Y6&gt;=40,"Distinction",IF(Y6&gt;=30,"Merit",IF(Y6&gt;=10,"Pass",IF(Y6&gt;=0,"No Grade"))))</f>
        <v>Pass</v>
      </c>
      <c r="AA6" s="4">
        <f t="shared" ref="AA6:AA35" si="14">Y6/50</f>
        <v>0.44</v>
      </c>
      <c r="AB6" s="54">
        <v>17</v>
      </c>
      <c r="AC6" s="49" t="str">
        <f t="shared" ref="AC6:AC35" si="15">IF(AB6&gt;=40,"Distinction",IF(AB6&gt;=30,"Merit",IF(AB6&gt;=10,"Pass",IF(AB6&gt;=0,"No Grade"))))</f>
        <v>Pass</v>
      </c>
      <c r="AD6" s="4">
        <f t="shared" ref="AD6:AD35" si="16">AB6/50</f>
        <v>0.34</v>
      </c>
    </row>
    <row r="7" spans="1:30" x14ac:dyDescent="0.3">
      <c r="A7" s="47" t="s">
        <v>26</v>
      </c>
      <c r="B7" s="49" t="s">
        <v>29</v>
      </c>
      <c r="C7" s="49" t="s">
        <v>63</v>
      </c>
      <c r="D7" s="52">
        <v>81925449</v>
      </c>
      <c r="E7" s="9" t="s">
        <v>213</v>
      </c>
      <c r="F7" s="52">
        <v>33</v>
      </c>
      <c r="G7" s="49" t="str">
        <f t="shared" si="0"/>
        <v>Merit</v>
      </c>
      <c r="H7" s="1">
        <f t="shared" si="1"/>
        <v>0.66</v>
      </c>
      <c r="I7" s="52">
        <v>15</v>
      </c>
      <c r="J7" s="49" t="str">
        <f t="shared" si="2"/>
        <v>Pass</v>
      </c>
      <c r="K7" s="1">
        <f t="shared" si="3"/>
        <v>0.3</v>
      </c>
      <c r="L7" s="52">
        <v>42</v>
      </c>
      <c r="M7" s="49" t="str">
        <f t="shared" si="4"/>
        <v>Distinction</v>
      </c>
      <c r="N7" s="1">
        <f t="shared" si="5"/>
        <v>0.84</v>
      </c>
      <c r="O7" s="52">
        <v>3</v>
      </c>
      <c r="P7" s="49" t="str">
        <f t="shared" si="6"/>
        <v>No Grade</v>
      </c>
      <c r="Q7" s="1">
        <f t="shared" si="7"/>
        <v>0.06</v>
      </c>
      <c r="R7" s="55">
        <f t="shared" si="8"/>
        <v>93</v>
      </c>
      <c r="S7" s="52">
        <v>30</v>
      </c>
      <c r="T7" s="49" t="str">
        <f t="shared" si="9"/>
        <v>Merit</v>
      </c>
      <c r="U7" s="1">
        <f t="shared" si="10"/>
        <v>0.6</v>
      </c>
      <c r="V7" s="52">
        <v>36</v>
      </c>
      <c r="W7" s="49" t="str">
        <f t="shared" si="11"/>
        <v>Merit</v>
      </c>
      <c r="X7" s="1">
        <f t="shared" si="12"/>
        <v>0.72</v>
      </c>
      <c r="Y7" s="52">
        <v>47</v>
      </c>
      <c r="Z7" s="49" t="str">
        <f t="shared" si="13"/>
        <v>Distinction</v>
      </c>
      <c r="AA7" s="1">
        <f t="shared" si="14"/>
        <v>0.94</v>
      </c>
      <c r="AB7" s="52">
        <v>1</v>
      </c>
      <c r="AC7" s="49" t="str">
        <f t="shared" si="15"/>
        <v>No Grade</v>
      </c>
      <c r="AD7" s="1">
        <f t="shared" si="16"/>
        <v>0.02</v>
      </c>
    </row>
    <row r="8" spans="1:30" ht="16.95" customHeight="1" x14ac:dyDescent="0.3">
      <c r="A8" s="47" t="s">
        <v>50</v>
      </c>
      <c r="B8" s="48" t="s">
        <v>57</v>
      </c>
      <c r="C8" s="48" t="s">
        <v>63</v>
      </c>
      <c r="D8" s="51">
        <v>4380157693</v>
      </c>
      <c r="E8" s="12" t="s">
        <v>223</v>
      </c>
      <c r="F8" s="51">
        <v>29</v>
      </c>
      <c r="G8" s="49" t="str">
        <f t="shared" si="0"/>
        <v>Pass</v>
      </c>
      <c r="H8" s="3">
        <f t="shared" si="1"/>
        <v>0.57999999999999996</v>
      </c>
      <c r="I8" s="51">
        <v>21</v>
      </c>
      <c r="J8" s="49" t="str">
        <f t="shared" si="2"/>
        <v>Pass</v>
      </c>
      <c r="K8" s="3">
        <f t="shared" si="3"/>
        <v>0.42</v>
      </c>
      <c r="L8" s="51">
        <v>38</v>
      </c>
      <c r="M8" s="49" t="str">
        <f t="shared" si="4"/>
        <v>Merit</v>
      </c>
      <c r="N8" s="3">
        <f t="shared" si="5"/>
        <v>0.76</v>
      </c>
      <c r="O8" s="51">
        <v>18</v>
      </c>
      <c r="P8" s="49" t="str">
        <f t="shared" si="6"/>
        <v>Pass</v>
      </c>
      <c r="Q8" s="3">
        <f t="shared" si="7"/>
        <v>0.36</v>
      </c>
      <c r="R8" s="55">
        <f t="shared" si="8"/>
        <v>106</v>
      </c>
      <c r="S8" s="54">
        <v>34</v>
      </c>
      <c r="T8" s="49" t="str">
        <f t="shared" si="9"/>
        <v>Merit</v>
      </c>
      <c r="U8" s="4">
        <f t="shared" si="10"/>
        <v>0.68</v>
      </c>
      <c r="V8" s="54">
        <v>23</v>
      </c>
      <c r="W8" s="49" t="str">
        <f t="shared" si="11"/>
        <v>Pass</v>
      </c>
      <c r="X8" s="4">
        <f t="shared" si="12"/>
        <v>0.46</v>
      </c>
      <c r="Y8" s="54">
        <v>18</v>
      </c>
      <c r="Z8" s="49" t="str">
        <f t="shared" si="13"/>
        <v>Pass</v>
      </c>
      <c r="AA8" s="4">
        <f t="shared" si="14"/>
        <v>0.36</v>
      </c>
      <c r="AB8" s="54">
        <v>12</v>
      </c>
      <c r="AC8" s="49" t="str">
        <f t="shared" si="15"/>
        <v>Pass</v>
      </c>
      <c r="AD8" s="4">
        <f t="shared" si="16"/>
        <v>0.24</v>
      </c>
    </row>
    <row r="9" spans="1:30" ht="15.6" customHeight="1" x14ac:dyDescent="0.3">
      <c r="A9" s="47" t="s">
        <v>69</v>
      </c>
      <c r="B9" s="48" t="s">
        <v>53</v>
      </c>
      <c r="C9" s="48" t="s">
        <v>63</v>
      </c>
      <c r="D9" s="51">
        <v>4709650388</v>
      </c>
      <c r="E9" s="10" t="s">
        <v>75</v>
      </c>
      <c r="F9" s="51">
        <v>2</v>
      </c>
      <c r="G9" s="49" t="str">
        <f t="shared" si="0"/>
        <v>No Grade</v>
      </c>
      <c r="H9" s="3">
        <f t="shared" si="1"/>
        <v>0.04</v>
      </c>
      <c r="I9" s="51">
        <v>20</v>
      </c>
      <c r="J9" s="49" t="str">
        <f t="shared" si="2"/>
        <v>Pass</v>
      </c>
      <c r="K9" s="3">
        <f t="shared" si="3"/>
        <v>0.4</v>
      </c>
      <c r="L9" s="51">
        <v>5</v>
      </c>
      <c r="M9" s="49" t="str">
        <f t="shared" si="4"/>
        <v>No Grade</v>
      </c>
      <c r="N9" s="3">
        <f t="shared" si="5"/>
        <v>0.1</v>
      </c>
      <c r="O9" s="51">
        <v>10</v>
      </c>
      <c r="P9" s="49" t="str">
        <f t="shared" si="6"/>
        <v>Pass</v>
      </c>
      <c r="Q9" s="3">
        <f t="shared" si="7"/>
        <v>0.2</v>
      </c>
      <c r="R9" s="55">
        <f t="shared" si="8"/>
        <v>37</v>
      </c>
      <c r="S9" s="54">
        <v>47</v>
      </c>
      <c r="T9" s="49" t="str">
        <f t="shared" si="9"/>
        <v>Distinction</v>
      </c>
      <c r="U9" s="4">
        <f t="shared" si="10"/>
        <v>0.94</v>
      </c>
      <c r="V9" s="54">
        <v>13</v>
      </c>
      <c r="W9" s="49" t="str">
        <f t="shared" si="11"/>
        <v>Pass</v>
      </c>
      <c r="X9" s="4">
        <f t="shared" si="12"/>
        <v>0.26</v>
      </c>
      <c r="Y9" s="54">
        <v>14</v>
      </c>
      <c r="Z9" s="49" t="str">
        <f t="shared" si="13"/>
        <v>Pass</v>
      </c>
      <c r="AA9" s="4">
        <f t="shared" si="14"/>
        <v>0.28000000000000003</v>
      </c>
      <c r="AB9" s="54">
        <v>46</v>
      </c>
      <c r="AC9" s="49" t="str">
        <f t="shared" si="15"/>
        <v>Distinction</v>
      </c>
      <c r="AD9" s="4">
        <f t="shared" si="16"/>
        <v>0.92</v>
      </c>
    </row>
    <row r="10" spans="1:30" x14ac:dyDescent="0.3">
      <c r="A10" s="50" t="s">
        <v>68</v>
      </c>
      <c r="B10" s="48" t="s">
        <v>72</v>
      </c>
      <c r="C10" s="48" t="s">
        <v>63</v>
      </c>
      <c r="D10" s="51">
        <v>9657303100</v>
      </c>
      <c r="E10" s="12" t="s">
        <v>227</v>
      </c>
      <c r="F10" s="51">
        <v>36</v>
      </c>
      <c r="G10" s="49" t="str">
        <f t="shared" si="0"/>
        <v>Merit</v>
      </c>
      <c r="H10" s="3">
        <f t="shared" si="1"/>
        <v>0.72</v>
      </c>
      <c r="I10" s="51">
        <v>26</v>
      </c>
      <c r="J10" s="49" t="str">
        <f t="shared" si="2"/>
        <v>Pass</v>
      </c>
      <c r="K10" s="3">
        <f t="shared" si="3"/>
        <v>0.52</v>
      </c>
      <c r="L10" s="51">
        <v>1</v>
      </c>
      <c r="M10" s="49" t="str">
        <f t="shared" si="4"/>
        <v>No Grade</v>
      </c>
      <c r="N10" s="3">
        <f t="shared" si="5"/>
        <v>0.02</v>
      </c>
      <c r="O10" s="51">
        <v>36</v>
      </c>
      <c r="P10" s="49" t="str">
        <f t="shared" si="6"/>
        <v>Merit</v>
      </c>
      <c r="Q10" s="3">
        <f t="shared" si="7"/>
        <v>0.72</v>
      </c>
      <c r="R10" s="55">
        <f t="shared" si="8"/>
        <v>99</v>
      </c>
      <c r="S10" s="54">
        <v>20</v>
      </c>
      <c r="T10" s="49" t="str">
        <f t="shared" si="9"/>
        <v>Pass</v>
      </c>
      <c r="U10" s="4">
        <f t="shared" si="10"/>
        <v>0.4</v>
      </c>
      <c r="V10" s="54">
        <v>7</v>
      </c>
      <c r="W10" s="49" t="str">
        <f t="shared" si="11"/>
        <v>No Grade</v>
      </c>
      <c r="X10" s="4">
        <f t="shared" si="12"/>
        <v>0.14000000000000001</v>
      </c>
      <c r="Y10" s="54">
        <v>43</v>
      </c>
      <c r="Z10" s="49" t="str">
        <f t="shared" si="13"/>
        <v>Distinction</v>
      </c>
      <c r="AA10" s="4">
        <f t="shared" si="14"/>
        <v>0.86</v>
      </c>
      <c r="AB10" s="54">
        <v>26</v>
      </c>
      <c r="AC10" s="49" t="str">
        <f t="shared" si="15"/>
        <v>Pass</v>
      </c>
      <c r="AD10" s="4">
        <f t="shared" si="16"/>
        <v>0.52</v>
      </c>
    </row>
    <row r="11" spans="1:30" x14ac:dyDescent="0.3">
      <c r="A11" s="47" t="s">
        <v>14</v>
      </c>
      <c r="B11" s="49" t="s">
        <v>56</v>
      </c>
      <c r="C11" s="49" t="s">
        <v>64</v>
      </c>
      <c r="D11" s="52">
        <v>8450106142</v>
      </c>
      <c r="E11" s="9">
        <v>37386</v>
      </c>
      <c r="F11" s="52">
        <v>27</v>
      </c>
      <c r="G11" s="49" t="str">
        <f t="shared" si="0"/>
        <v>Pass</v>
      </c>
      <c r="H11" s="1">
        <f t="shared" si="1"/>
        <v>0.54</v>
      </c>
      <c r="I11" s="52">
        <v>40</v>
      </c>
      <c r="J11" s="49" t="str">
        <f t="shared" si="2"/>
        <v>Distinction</v>
      </c>
      <c r="K11" s="1">
        <f t="shared" si="3"/>
        <v>0.8</v>
      </c>
      <c r="L11" s="52">
        <v>16</v>
      </c>
      <c r="M11" s="49" t="str">
        <f t="shared" si="4"/>
        <v>Pass</v>
      </c>
      <c r="N11" s="1">
        <f t="shared" si="5"/>
        <v>0.32</v>
      </c>
      <c r="O11" s="52">
        <v>1</v>
      </c>
      <c r="P11" s="49" t="str">
        <f t="shared" si="6"/>
        <v>No Grade</v>
      </c>
      <c r="Q11" s="1">
        <f t="shared" si="7"/>
        <v>0.02</v>
      </c>
      <c r="R11" s="55">
        <f t="shared" si="8"/>
        <v>84</v>
      </c>
      <c r="S11" s="52">
        <v>25</v>
      </c>
      <c r="T11" s="49" t="str">
        <f t="shared" si="9"/>
        <v>Pass</v>
      </c>
      <c r="U11" s="1">
        <f t="shared" si="10"/>
        <v>0.5</v>
      </c>
      <c r="V11" s="52">
        <v>48</v>
      </c>
      <c r="W11" s="49" t="str">
        <f t="shared" si="11"/>
        <v>Distinction</v>
      </c>
      <c r="X11" s="1">
        <f t="shared" si="12"/>
        <v>0.96</v>
      </c>
      <c r="Y11" s="52">
        <v>7</v>
      </c>
      <c r="Z11" s="49" t="str">
        <f t="shared" si="13"/>
        <v>No Grade</v>
      </c>
      <c r="AA11" s="1">
        <f t="shared" si="14"/>
        <v>0.14000000000000001</v>
      </c>
      <c r="AB11" s="52">
        <v>1</v>
      </c>
      <c r="AC11" s="49" t="str">
        <f t="shared" si="15"/>
        <v>No Grade</v>
      </c>
      <c r="AD11" s="1">
        <f t="shared" si="16"/>
        <v>0.02</v>
      </c>
    </row>
    <row r="12" spans="1:30" x14ac:dyDescent="0.3">
      <c r="A12" s="50" t="s">
        <v>43</v>
      </c>
      <c r="B12" s="49" t="s">
        <v>37</v>
      </c>
      <c r="C12" s="49" t="s">
        <v>63</v>
      </c>
      <c r="D12" s="52">
        <v>9029502927</v>
      </c>
      <c r="E12" s="11" t="s">
        <v>216</v>
      </c>
      <c r="F12" s="52">
        <v>27</v>
      </c>
      <c r="G12" s="49" t="str">
        <f t="shared" si="0"/>
        <v>Pass</v>
      </c>
      <c r="H12" s="1">
        <f t="shared" si="1"/>
        <v>0.54</v>
      </c>
      <c r="I12" s="52">
        <v>23</v>
      </c>
      <c r="J12" s="49" t="str">
        <f t="shared" si="2"/>
        <v>Pass</v>
      </c>
      <c r="K12" s="1">
        <f t="shared" si="3"/>
        <v>0.46</v>
      </c>
      <c r="L12" s="52">
        <v>27</v>
      </c>
      <c r="M12" s="49" t="str">
        <f t="shared" si="4"/>
        <v>Pass</v>
      </c>
      <c r="N12" s="1">
        <f t="shared" si="5"/>
        <v>0.54</v>
      </c>
      <c r="O12" s="52">
        <v>28</v>
      </c>
      <c r="P12" s="49" t="str">
        <f t="shared" si="6"/>
        <v>Pass</v>
      </c>
      <c r="Q12" s="1">
        <f t="shared" si="7"/>
        <v>0.56000000000000005</v>
      </c>
      <c r="R12" s="55">
        <f t="shared" si="8"/>
        <v>105</v>
      </c>
      <c r="S12" s="52">
        <v>16</v>
      </c>
      <c r="T12" s="49" t="str">
        <f t="shared" si="9"/>
        <v>Pass</v>
      </c>
      <c r="U12" s="1">
        <f t="shared" si="10"/>
        <v>0.32</v>
      </c>
      <c r="V12" s="52">
        <v>36</v>
      </c>
      <c r="W12" s="49" t="str">
        <f t="shared" si="11"/>
        <v>Merit</v>
      </c>
      <c r="X12" s="1">
        <f t="shared" si="12"/>
        <v>0.72</v>
      </c>
      <c r="Y12" s="52">
        <v>44</v>
      </c>
      <c r="Z12" s="49" t="str">
        <f t="shared" si="13"/>
        <v>Distinction</v>
      </c>
      <c r="AA12" s="1">
        <f t="shared" si="14"/>
        <v>0.88</v>
      </c>
      <c r="AB12" s="52">
        <v>0</v>
      </c>
      <c r="AC12" s="49" t="str">
        <f t="shared" si="15"/>
        <v>No Grade</v>
      </c>
      <c r="AD12" s="1">
        <f t="shared" si="16"/>
        <v>0</v>
      </c>
    </row>
    <row r="13" spans="1:30" x14ac:dyDescent="0.3">
      <c r="A13" s="50" t="s">
        <v>51</v>
      </c>
      <c r="B13" s="49" t="s">
        <v>39</v>
      </c>
      <c r="C13" s="49" t="s">
        <v>63</v>
      </c>
      <c r="D13" s="52">
        <v>3992021696</v>
      </c>
      <c r="E13" s="9" t="s">
        <v>218</v>
      </c>
      <c r="F13" s="52">
        <v>44</v>
      </c>
      <c r="G13" s="49" t="str">
        <f t="shared" si="0"/>
        <v>Distinction</v>
      </c>
      <c r="H13" s="1">
        <f t="shared" si="1"/>
        <v>0.88</v>
      </c>
      <c r="I13" s="52">
        <v>29</v>
      </c>
      <c r="J13" s="49" t="str">
        <f t="shared" si="2"/>
        <v>Pass</v>
      </c>
      <c r="K13" s="1">
        <f t="shared" si="3"/>
        <v>0.57999999999999996</v>
      </c>
      <c r="L13" s="52">
        <v>4</v>
      </c>
      <c r="M13" s="49" t="str">
        <f t="shared" si="4"/>
        <v>No Grade</v>
      </c>
      <c r="N13" s="1">
        <f t="shared" si="5"/>
        <v>0.08</v>
      </c>
      <c r="O13" s="52">
        <v>34</v>
      </c>
      <c r="P13" s="49" t="str">
        <f t="shared" si="6"/>
        <v>Merit</v>
      </c>
      <c r="Q13" s="1">
        <f t="shared" si="7"/>
        <v>0.68</v>
      </c>
      <c r="R13" s="55">
        <f t="shared" si="8"/>
        <v>111</v>
      </c>
      <c r="S13" s="52">
        <v>13</v>
      </c>
      <c r="T13" s="49" t="str">
        <f t="shared" si="9"/>
        <v>Pass</v>
      </c>
      <c r="U13" s="1">
        <f t="shared" si="10"/>
        <v>0.26</v>
      </c>
      <c r="V13" s="52">
        <v>31</v>
      </c>
      <c r="W13" s="49" t="str">
        <f t="shared" si="11"/>
        <v>Merit</v>
      </c>
      <c r="X13" s="1">
        <f t="shared" si="12"/>
        <v>0.62</v>
      </c>
      <c r="Y13" s="52">
        <v>40</v>
      </c>
      <c r="Z13" s="49" t="str">
        <f t="shared" si="13"/>
        <v>Distinction</v>
      </c>
      <c r="AA13" s="1">
        <f t="shared" si="14"/>
        <v>0.8</v>
      </c>
      <c r="AB13" s="52">
        <v>9</v>
      </c>
      <c r="AC13" s="49" t="str">
        <f t="shared" si="15"/>
        <v>No Grade</v>
      </c>
      <c r="AD13" s="1">
        <f t="shared" si="16"/>
        <v>0.18</v>
      </c>
    </row>
    <row r="14" spans="1:30" x14ac:dyDescent="0.3">
      <c r="A14" s="50" t="s">
        <v>41</v>
      </c>
      <c r="B14" s="48" t="s">
        <v>30</v>
      </c>
      <c r="C14" s="48" t="s">
        <v>63</v>
      </c>
      <c r="D14" s="53">
        <v>6425283704</v>
      </c>
      <c r="E14" s="12">
        <v>37021</v>
      </c>
      <c r="F14" s="53">
        <v>21</v>
      </c>
      <c r="G14" s="49" t="str">
        <f t="shared" si="0"/>
        <v>Pass</v>
      </c>
      <c r="H14" s="3">
        <f t="shared" si="1"/>
        <v>0.42</v>
      </c>
      <c r="I14" s="53">
        <v>35</v>
      </c>
      <c r="J14" s="49" t="str">
        <f t="shared" si="2"/>
        <v>Merit</v>
      </c>
      <c r="K14" s="3">
        <f t="shared" si="3"/>
        <v>0.7</v>
      </c>
      <c r="L14" s="53">
        <v>29</v>
      </c>
      <c r="M14" s="49" t="str">
        <f t="shared" si="4"/>
        <v>Pass</v>
      </c>
      <c r="N14" s="3">
        <f t="shared" si="5"/>
        <v>0.57999999999999996</v>
      </c>
      <c r="O14" s="53">
        <v>46</v>
      </c>
      <c r="P14" s="49" t="str">
        <f t="shared" si="6"/>
        <v>Distinction</v>
      </c>
      <c r="Q14" s="3">
        <f t="shared" si="7"/>
        <v>0.92</v>
      </c>
      <c r="R14" s="55">
        <f t="shared" si="8"/>
        <v>131</v>
      </c>
      <c r="S14" s="54">
        <v>49</v>
      </c>
      <c r="T14" s="49" t="str">
        <f t="shared" si="9"/>
        <v>Distinction</v>
      </c>
      <c r="U14" s="4">
        <f t="shared" si="10"/>
        <v>0.98</v>
      </c>
      <c r="V14" s="54">
        <v>0</v>
      </c>
      <c r="W14" s="49" t="str">
        <f t="shared" si="11"/>
        <v>No Grade</v>
      </c>
      <c r="X14" s="4">
        <f t="shared" si="12"/>
        <v>0</v>
      </c>
      <c r="Y14" s="54">
        <v>6</v>
      </c>
      <c r="Z14" s="49" t="str">
        <f t="shared" si="13"/>
        <v>No Grade</v>
      </c>
      <c r="AA14" s="4">
        <f t="shared" si="14"/>
        <v>0.12</v>
      </c>
      <c r="AB14" s="54">
        <v>27</v>
      </c>
      <c r="AC14" s="49" t="str">
        <f t="shared" si="15"/>
        <v>Pass</v>
      </c>
      <c r="AD14" s="4">
        <f t="shared" si="16"/>
        <v>0.54</v>
      </c>
    </row>
    <row r="15" spans="1:30" x14ac:dyDescent="0.3">
      <c r="A15" s="47" t="s">
        <v>48</v>
      </c>
      <c r="B15" s="49" t="s">
        <v>35</v>
      </c>
      <c r="C15" s="49" t="s">
        <v>63</v>
      </c>
      <c r="D15" s="52">
        <v>1589176224</v>
      </c>
      <c r="E15" s="9">
        <v>37319</v>
      </c>
      <c r="F15" s="52">
        <v>34</v>
      </c>
      <c r="G15" s="49" t="str">
        <f t="shared" si="0"/>
        <v>Merit</v>
      </c>
      <c r="H15" s="1">
        <f t="shared" si="1"/>
        <v>0.68</v>
      </c>
      <c r="I15" s="52">
        <v>37</v>
      </c>
      <c r="J15" s="49" t="str">
        <f t="shared" si="2"/>
        <v>Merit</v>
      </c>
      <c r="K15" s="1">
        <f t="shared" si="3"/>
        <v>0.74</v>
      </c>
      <c r="L15" s="52">
        <v>47</v>
      </c>
      <c r="M15" s="49" t="str">
        <f t="shared" si="4"/>
        <v>Distinction</v>
      </c>
      <c r="N15" s="1">
        <f t="shared" si="5"/>
        <v>0.94</v>
      </c>
      <c r="O15" s="52">
        <v>44</v>
      </c>
      <c r="P15" s="49" t="str">
        <f t="shared" si="6"/>
        <v>Distinction</v>
      </c>
      <c r="Q15" s="1">
        <f t="shared" si="7"/>
        <v>0.88</v>
      </c>
      <c r="R15" s="55">
        <f t="shared" si="8"/>
        <v>162</v>
      </c>
      <c r="S15" s="52">
        <v>7</v>
      </c>
      <c r="T15" s="49" t="str">
        <f t="shared" si="9"/>
        <v>No Grade</v>
      </c>
      <c r="U15" s="1">
        <f t="shared" si="10"/>
        <v>0.14000000000000001</v>
      </c>
      <c r="V15" s="52">
        <v>49</v>
      </c>
      <c r="W15" s="49" t="str">
        <f t="shared" si="11"/>
        <v>Distinction</v>
      </c>
      <c r="X15" s="1">
        <f t="shared" si="12"/>
        <v>0.98</v>
      </c>
      <c r="Y15" s="52">
        <v>25</v>
      </c>
      <c r="Z15" s="49" t="str">
        <f t="shared" si="13"/>
        <v>Pass</v>
      </c>
      <c r="AA15" s="1">
        <f t="shared" si="14"/>
        <v>0.5</v>
      </c>
      <c r="AB15" s="52">
        <v>34</v>
      </c>
      <c r="AC15" s="49" t="str">
        <f t="shared" si="15"/>
        <v>Merit</v>
      </c>
      <c r="AD15" s="1">
        <f t="shared" si="16"/>
        <v>0.68</v>
      </c>
    </row>
    <row r="16" spans="1:30" x14ac:dyDescent="0.3">
      <c r="A16" s="50" t="s">
        <v>17</v>
      </c>
      <c r="B16" s="49" t="s">
        <v>27</v>
      </c>
      <c r="C16" s="49" t="s">
        <v>63</v>
      </c>
      <c r="D16" s="52">
        <v>2826474459</v>
      </c>
      <c r="E16" s="11" t="s">
        <v>211</v>
      </c>
      <c r="F16" s="52">
        <v>30</v>
      </c>
      <c r="G16" s="49" t="str">
        <f t="shared" si="0"/>
        <v>Merit</v>
      </c>
      <c r="H16" s="1">
        <f t="shared" si="1"/>
        <v>0.6</v>
      </c>
      <c r="I16" s="52">
        <v>42</v>
      </c>
      <c r="J16" s="49" t="str">
        <f t="shared" si="2"/>
        <v>Distinction</v>
      </c>
      <c r="K16" s="1">
        <f t="shared" si="3"/>
        <v>0.84</v>
      </c>
      <c r="L16" s="52">
        <v>22</v>
      </c>
      <c r="M16" s="49" t="str">
        <f t="shared" si="4"/>
        <v>Pass</v>
      </c>
      <c r="N16" s="1">
        <f t="shared" si="5"/>
        <v>0.44</v>
      </c>
      <c r="O16" s="52">
        <v>4</v>
      </c>
      <c r="P16" s="49" t="str">
        <f t="shared" si="6"/>
        <v>No Grade</v>
      </c>
      <c r="Q16" s="1">
        <f t="shared" si="7"/>
        <v>0.08</v>
      </c>
      <c r="R16" s="55">
        <f t="shared" si="8"/>
        <v>98</v>
      </c>
      <c r="S16" s="52">
        <v>11</v>
      </c>
      <c r="T16" s="49" t="str">
        <f t="shared" si="9"/>
        <v>Pass</v>
      </c>
      <c r="U16" s="1">
        <f t="shared" si="10"/>
        <v>0.22</v>
      </c>
      <c r="V16" s="52">
        <v>22</v>
      </c>
      <c r="W16" s="49" t="str">
        <f t="shared" si="11"/>
        <v>Pass</v>
      </c>
      <c r="X16" s="1">
        <f t="shared" si="12"/>
        <v>0.44</v>
      </c>
      <c r="Y16" s="52">
        <v>44</v>
      </c>
      <c r="Z16" s="49" t="str">
        <f t="shared" si="13"/>
        <v>Distinction</v>
      </c>
      <c r="AA16" s="1">
        <f t="shared" si="14"/>
        <v>0.88</v>
      </c>
      <c r="AB16" s="52">
        <v>38</v>
      </c>
      <c r="AC16" s="49" t="str">
        <f t="shared" si="15"/>
        <v>Merit</v>
      </c>
      <c r="AD16" s="1">
        <f t="shared" si="16"/>
        <v>0.76</v>
      </c>
    </row>
    <row r="17" spans="1:30" x14ac:dyDescent="0.3">
      <c r="A17" s="47" t="s">
        <v>20</v>
      </c>
      <c r="B17" s="49" t="s">
        <v>58</v>
      </c>
      <c r="C17" s="49" t="s">
        <v>63</v>
      </c>
      <c r="D17" s="52">
        <v>7820079933</v>
      </c>
      <c r="E17" s="9" t="s">
        <v>224</v>
      </c>
      <c r="F17" s="52">
        <v>29</v>
      </c>
      <c r="G17" s="49" t="str">
        <f t="shared" si="0"/>
        <v>Pass</v>
      </c>
      <c r="H17" s="1">
        <f t="shared" si="1"/>
        <v>0.57999999999999996</v>
      </c>
      <c r="I17" s="52">
        <v>29</v>
      </c>
      <c r="J17" s="49" t="str">
        <f t="shared" si="2"/>
        <v>Pass</v>
      </c>
      <c r="K17" s="1">
        <f t="shared" si="3"/>
        <v>0.57999999999999996</v>
      </c>
      <c r="L17" s="52">
        <v>31</v>
      </c>
      <c r="M17" s="49" t="str">
        <f t="shared" si="4"/>
        <v>Merit</v>
      </c>
      <c r="N17" s="1">
        <f t="shared" si="5"/>
        <v>0.62</v>
      </c>
      <c r="O17" s="52">
        <v>13</v>
      </c>
      <c r="P17" s="49" t="str">
        <f t="shared" si="6"/>
        <v>Pass</v>
      </c>
      <c r="Q17" s="1">
        <f t="shared" si="7"/>
        <v>0.26</v>
      </c>
      <c r="R17" s="55">
        <f t="shared" si="8"/>
        <v>102</v>
      </c>
      <c r="S17" s="52">
        <v>0</v>
      </c>
      <c r="T17" s="49" t="str">
        <f t="shared" si="9"/>
        <v>No Grade</v>
      </c>
      <c r="U17" s="1">
        <f t="shared" si="10"/>
        <v>0</v>
      </c>
      <c r="V17" s="52">
        <v>36</v>
      </c>
      <c r="W17" s="49" t="str">
        <f t="shared" si="11"/>
        <v>Merit</v>
      </c>
      <c r="X17" s="1">
        <f t="shared" si="12"/>
        <v>0.72</v>
      </c>
      <c r="Y17" s="52">
        <v>32</v>
      </c>
      <c r="Z17" s="49" t="str">
        <f t="shared" si="13"/>
        <v>Merit</v>
      </c>
      <c r="AA17" s="1">
        <f t="shared" si="14"/>
        <v>0.64</v>
      </c>
      <c r="AB17" s="52">
        <v>43</v>
      </c>
      <c r="AC17" s="49" t="str">
        <f t="shared" si="15"/>
        <v>Distinction</v>
      </c>
      <c r="AD17" s="1">
        <f t="shared" si="16"/>
        <v>0.86</v>
      </c>
    </row>
    <row r="18" spans="1:30" x14ac:dyDescent="0.3">
      <c r="A18" s="47" t="s">
        <v>18</v>
      </c>
      <c r="B18" s="49" t="s">
        <v>71</v>
      </c>
      <c r="C18" s="49" t="s">
        <v>63</v>
      </c>
      <c r="D18" s="52">
        <v>4170888599</v>
      </c>
      <c r="E18" s="11" t="s">
        <v>76</v>
      </c>
      <c r="F18" s="52">
        <v>34</v>
      </c>
      <c r="G18" s="49" t="str">
        <f t="shared" si="0"/>
        <v>Merit</v>
      </c>
      <c r="H18" s="1">
        <f t="shared" si="1"/>
        <v>0.68</v>
      </c>
      <c r="I18" s="52">
        <v>2</v>
      </c>
      <c r="J18" s="49" t="str">
        <f t="shared" si="2"/>
        <v>No Grade</v>
      </c>
      <c r="K18" s="1">
        <f t="shared" si="3"/>
        <v>0.04</v>
      </c>
      <c r="L18" s="52">
        <v>38</v>
      </c>
      <c r="M18" s="49" t="str">
        <f t="shared" si="4"/>
        <v>Merit</v>
      </c>
      <c r="N18" s="1">
        <f t="shared" si="5"/>
        <v>0.76</v>
      </c>
      <c r="O18" s="52">
        <v>36</v>
      </c>
      <c r="P18" s="49" t="str">
        <f t="shared" si="6"/>
        <v>Merit</v>
      </c>
      <c r="Q18" s="1">
        <f t="shared" si="7"/>
        <v>0.72</v>
      </c>
      <c r="R18" s="55">
        <f t="shared" si="8"/>
        <v>110</v>
      </c>
      <c r="S18" s="52">
        <v>19</v>
      </c>
      <c r="T18" s="49" t="str">
        <f t="shared" si="9"/>
        <v>Pass</v>
      </c>
      <c r="U18" s="1">
        <f t="shared" si="10"/>
        <v>0.38</v>
      </c>
      <c r="V18" s="52">
        <v>47</v>
      </c>
      <c r="W18" s="49" t="str">
        <f t="shared" si="11"/>
        <v>Distinction</v>
      </c>
      <c r="X18" s="1">
        <f t="shared" si="12"/>
        <v>0.94</v>
      </c>
      <c r="Y18" s="52">
        <v>42</v>
      </c>
      <c r="Z18" s="49" t="str">
        <f t="shared" si="13"/>
        <v>Distinction</v>
      </c>
      <c r="AA18" s="1">
        <f t="shared" si="14"/>
        <v>0.84</v>
      </c>
      <c r="AB18" s="52">
        <v>18</v>
      </c>
      <c r="AC18" s="49" t="str">
        <f t="shared" si="15"/>
        <v>Pass</v>
      </c>
      <c r="AD18" s="1">
        <f t="shared" si="16"/>
        <v>0.36</v>
      </c>
    </row>
    <row r="19" spans="1:30" x14ac:dyDescent="0.3">
      <c r="A19" s="47" t="s">
        <v>22</v>
      </c>
      <c r="B19" s="48" t="s">
        <v>70</v>
      </c>
      <c r="C19" s="48" t="s">
        <v>63</v>
      </c>
      <c r="D19" s="51">
        <v>4571959266</v>
      </c>
      <c r="E19" s="10">
        <v>37504</v>
      </c>
      <c r="F19" s="51">
        <v>30</v>
      </c>
      <c r="G19" s="49" t="str">
        <f t="shared" si="0"/>
        <v>Merit</v>
      </c>
      <c r="H19" s="3">
        <f t="shared" si="1"/>
        <v>0.6</v>
      </c>
      <c r="I19" s="51">
        <v>26</v>
      </c>
      <c r="J19" s="49" t="str">
        <f t="shared" si="2"/>
        <v>Pass</v>
      </c>
      <c r="K19" s="3">
        <f t="shared" si="3"/>
        <v>0.52</v>
      </c>
      <c r="L19" s="51">
        <v>45</v>
      </c>
      <c r="M19" s="49" t="str">
        <f t="shared" si="4"/>
        <v>Distinction</v>
      </c>
      <c r="N19" s="3">
        <f t="shared" si="5"/>
        <v>0.9</v>
      </c>
      <c r="O19" s="51">
        <v>22</v>
      </c>
      <c r="P19" s="49" t="str">
        <f t="shared" si="6"/>
        <v>Pass</v>
      </c>
      <c r="Q19" s="3">
        <f t="shared" si="7"/>
        <v>0.44</v>
      </c>
      <c r="R19" s="55">
        <f t="shared" si="8"/>
        <v>123</v>
      </c>
      <c r="S19" s="54">
        <v>37</v>
      </c>
      <c r="T19" s="49" t="str">
        <f t="shared" si="9"/>
        <v>Merit</v>
      </c>
      <c r="U19" s="4">
        <f t="shared" si="10"/>
        <v>0.74</v>
      </c>
      <c r="V19" s="54">
        <v>29</v>
      </c>
      <c r="W19" s="49" t="str">
        <f t="shared" si="11"/>
        <v>Pass</v>
      </c>
      <c r="X19" s="4">
        <f t="shared" si="12"/>
        <v>0.57999999999999996</v>
      </c>
      <c r="Y19" s="54">
        <v>26</v>
      </c>
      <c r="Z19" s="49" t="str">
        <f t="shared" si="13"/>
        <v>Pass</v>
      </c>
      <c r="AA19" s="4">
        <f t="shared" si="14"/>
        <v>0.52</v>
      </c>
      <c r="AB19" s="54">
        <v>48</v>
      </c>
      <c r="AC19" s="49" t="str">
        <f t="shared" si="15"/>
        <v>Distinction</v>
      </c>
      <c r="AD19" s="4">
        <f t="shared" si="16"/>
        <v>0.96</v>
      </c>
    </row>
    <row r="20" spans="1:30" x14ac:dyDescent="0.3">
      <c r="A20" s="50" t="s">
        <v>49</v>
      </c>
      <c r="B20" s="49" t="s">
        <v>33</v>
      </c>
      <c r="C20" s="49" t="s">
        <v>64</v>
      </c>
      <c r="D20" s="52">
        <v>6385696329</v>
      </c>
      <c r="E20" s="11" t="s">
        <v>215</v>
      </c>
      <c r="F20" s="52">
        <v>33</v>
      </c>
      <c r="G20" s="49" t="str">
        <f t="shared" si="0"/>
        <v>Merit</v>
      </c>
      <c r="H20" s="1">
        <f t="shared" si="1"/>
        <v>0.66</v>
      </c>
      <c r="I20" s="52">
        <v>28</v>
      </c>
      <c r="J20" s="49" t="str">
        <f t="shared" si="2"/>
        <v>Pass</v>
      </c>
      <c r="K20" s="1">
        <f t="shared" si="3"/>
        <v>0.56000000000000005</v>
      </c>
      <c r="L20" s="52">
        <v>24</v>
      </c>
      <c r="M20" s="49" t="str">
        <f t="shared" si="4"/>
        <v>Pass</v>
      </c>
      <c r="N20" s="1">
        <f t="shared" si="5"/>
        <v>0.48</v>
      </c>
      <c r="O20" s="52">
        <v>47</v>
      </c>
      <c r="P20" s="49" t="str">
        <f t="shared" si="6"/>
        <v>Distinction</v>
      </c>
      <c r="Q20" s="1">
        <f t="shared" si="7"/>
        <v>0.94</v>
      </c>
      <c r="R20" s="55">
        <f t="shared" si="8"/>
        <v>132</v>
      </c>
      <c r="S20" s="52">
        <v>45</v>
      </c>
      <c r="T20" s="49" t="str">
        <f t="shared" si="9"/>
        <v>Distinction</v>
      </c>
      <c r="U20" s="1">
        <f t="shared" si="10"/>
        <v>0.9</v>
      </c>
      <c r="V20" s="52">
        <v>18</v>
      </c>
      <c r="W20" s="49" t="str">
        <f t="shared" si="11"/>
        <v>Pass</v>
      </c>
      <c r="X20" s="1">
        <f t="shared" si="12"/>
        <v>0.36</v>
      </c>
      <c r="Y20" s="52">
        <v>37</v>
      </c>
      <c r="Z20" s="49" t="str">
        <f t="shared" si="13"/>
        <v>Merit</v>
      </c>
      <c r="AA20" s="1">
        <f t="shared" si="14"/>
        <v>0.74</v>
      </c>
      <c r="AB20" s="52">
        <v>19</v>
      </c>
      <c r="AC20" s="49" t="str">
        <f t="shared" si="15"/>
        <v>Pass</v>
      </c>
      <c r="AD20" s="1">
        <f t="shared" si="16"/>
        <v>0.38</v>
      </c>
    </row>
    <row r="21" spans="1:30" x14ac:dyDescent="0.3">
      <c r="A21" s="50" t="s">
        <v>19</v>
      </c>
      <c r="B21" s="49" t="s">
        <v>60</v>
      </c>
      <c r="C21" s="49" t="s">
        <v>63</v>
      </c>
      <c r="D21" s="52">
        <v>2981150577</v>
      </c>
      <c r="E21" s="9">
        <v>37472</v>
      </c>
      <c r="F21" s="52">
        <v>50</v>
      </c>
      <c r="G21" s="49" t="str">
        <f t="shared" si="0"/>
        <v>Distinction</v>
      </c>
      <c r="H21" s="1">
        <f t="shared" si="1"/>
        <v>1</v>
      </c>
      <c r="I21" s="52">
        <v>30</v>
      </c>
      <c r="J21" s="49" t="str">
        <f t="shared" si="2"/>
        <v>Merit</v>
      </c>
      <c r="K21" s="1">
        <f t="shared" si="3"/>
        <v>0.6</v>
      </c>
      <c r="L21" s="52">
        <v>41</v>
      </c>
      <c r="M21" s="49" t="str">
        <f t="shared" si="4"/>
        <v>Distinction</v>
      </c>
      <c r="N21" s="1">
        <f t="shared" si="5"/>
        <v>0.82</v>
      </c>
      <c r="O21" s="52">
        <v>43</v>
      </c>
      <c r="P21" s="49" t="str">
        <f t="shared" si="6"/>
        <v>Distinction</v>
      </c>
      <c r="Q21" s="1">
        <f t="shared" si="7"/>
        <v>0.86</v>
      </c>
      <c r="R21" s="55">
        <f t="shared" si="8"/>
        <v>164</v>
      </c>
      <c r="S21" s="52">
        <v>12</v>
      </c>
      <c r="T21" s="49" t="str">
        <f t="shared" si="9"/>
        <v>Pass</v>
      </c>
      <c r="U21" s="1">
        <f t="shared" si="10"/>
        <v>0.24</v>
      </c>
      <c r="V21" s="52">
        <v>49</v>
      </c>
      <c r="W21" s="49" t="str">
        <f t="shared" si="11"/>
        <v>Distinction</v>
      </c>
      <c r="X21" s="1">
        <f t="shared" si="12"/>
        <v>0.98</v>
      </c>
      <c r="Y21" s="52">
        <v>8</v>
      </c>
      <c r="Z21" s="49" t="str">
        <f t="shared" si="13"/>
        <v>No Grade</v>
      </c>
      <c r="AA21" s="1">
        <f t="shared" si="14"/>
        <v>0.16</v>
      </c>
      <c r="AB21" s="52">
        <v>5</v>
      </c>
      <c r="AC21" s="49" t="str">
        <f t="shared" si="15"/>
        <v>No Grade</v>
      </c>
      <c r="AD21" s="1">
        <f t="shared" si="16"/>
        <v>0.1</v>
      </c>
    </row>
    <row r="22" spans="1:30" x14ac:dyDescent="0.3">
      <c r="A22" s="47" t="s">
        <v>65</v>
      </c>
      <c r="B22" s="48" t="s">
        <v>36</v>
      </c>
      <c r="C22" s="48" t="s">
        <v>63</v>
      </c>
      <c r="D22" s="51">
        <v>1227824817</v>
      </c>
      <c r="E22" s="12">
        <v>36687</v>
      </c>
      <c r="F22" s="51">
        <v>40</v>
      </c>
      <c r="G22" s="49" t="str">
        <f t="shared" si="0"/>
        <v>Distinction</v>
      </c>
      <c r="H22" s="3">
        <f t="shared" si="1"/>
        <v>0.8</v>
      </c>
      <c r="I22" s="51">
        <v>50</v>
      </c>
      <c r="J22" s="49" t="str">
        <f t="shared" si="2"/>
        <v>Distinction</v>
      </c>
      <c r="K22" s="3">
        <f t="shared" si="3"/>
        <v>1</v>
      </c>
      <c r="L22" s="51">
        <v>27</v>
      </c>
      <c r="M22" s="49" t="str">
        <f t="shared" si="4"/>
        <v>Pass</v>
      </c>
      <c r="N22" s="3">
        <f t="shared" si="5"/>
        <v>0.54</v>
      </c>
      <c r="O22" s="51">
        <v>9</v>
      </c>
      <c r="P22" s="49" t="str">
        <f t="shared" si="6"/>
        <v>No Grade</v>
      </c>
      <c r="Q22" s="3">
        <f t="shared" si="7"/>
        <v>0.18</v>
      </c>
      <c r="R22" s="55">
        <f t="shared" si="8"/>
        <v>126</v>
      </c>
      <c r="S22" s="54">
        <v>43</v>
      </c>
      <c r="T22" s="49" t="str">
        <f t="shared" si="9"/>
        <v>Distinction</v>
      </c>
      <c r="U22" s="4">
        <f t="shared" si="10"/>
        <v>0.86</v>
      </c>
      <c r="V22" s="54">
        <v>5</v>
      </c>
      <c r="W22" s="49" t="str">
        <f t="shared" si="11"/>
        <v>No Grade</v>
      </c>
      <c r="X22" s="4">
        <f t="shared" si="12"/>
        <v>0.1</v>
      </c>
      <c r="Y22" s="54">
        <v>7</v>
      </c>
      <c r="Z22" s="49" t="str">
        <f t="shared" si="13"/>
        <v>No Grade</v>
      </c>
      <c r="AA22" s="4">
        <f t="shared" si="14"/>
        <v>0.14000000000000001</v>
      </c>
      <c r="AB22" s="54">
        <v>40</v>
      </c>
      <c r="AC22" s="49" t="str">
        <f t="shared" si="15"/>
        <v>Distinction</v>
      </c>
      <c r="AD22" s="4">
        <f t="shared" si="16"/>
        <v>0.8</v>
      </c>
    </row>
    <row r="23" spans="1:30" x14ac:dyDescent="0.3">
      <c r="A23" s="50" t="s">
        <v>66</v>
      </c>
      <c r="B23" s="48" t="s">
        <v>32</v>
      </c>
      <c r="C23" s="48" t="s">
        <v>64</v>
      </c>
      <c r="D23" s="53">
        <v>3968901892</v>
      </c>
      <c r="E23" s="10" t="s">
        <v>214</v>
      </c>
      <c r="F23" s="53">
        <v>22</v>
      </c>
      <c r="G23" s="49" t="str">
        <f t="shared" si="0"/>
        <v>Pass</v>
      </c>
      <c r="H23" s="3">
        <f t="shared" si="1"/>
        <v>0.44</v>
      </c>
      <c r="I23" s="53">
        <v>24</v>
      </c>
      <c r="J23" s="49" t="str">
        <f t="shared" si="2"/>
        <v>Pass</v>
      </c>
      <c r="K23" s="3">
        <f t="shared" si="3"/>
        <v>0.48</v>
      </c>
      <c r="L23" s="53">
        <v>30</v>
      </c>
      <c r="M23" s="49" t="str">
        <f t="shared" si="4"/>
        <v>Merit</v>
      </c>
      <c r="N23" s="3">
        <f t="shared" si="5"/>
        <v>0.6</v>
      </c>
      <c r="O23" s="53">
        <v>48</v>
      </c>
      <c r="P23" s="49" t="str">
        <f t="shared" si="6"/>
        <v>Distinction</v>
      </c>
      <c r="Q23" s="3">
        <f t="shared" si="7"/>
        <v>0.96</v>
      </c>
      <c r="R23" s="55">
        <f t="shared" si="8"/>
        <v>124</v>
      </c>
      <c r="S23" s="54">
        <v>13</v>
      </c>
      <c r="T23" s="49" t="str">
        <f t="shared" si="9"/>
        <v>Pass</v>
      </c>
      <c r="U23" s="4">
        <f t="shared" si="10"/>
        <v>0.26</v>
      </c>
      <c r="V23" s="54">
        <v>34</v>
      </c>
      <c r="W23" s="49" t="str">
        <f t="shared" si="11"/>
        <v>Merit</v>
      </c>
      <c r="X23" s="4">
        <f t="shared" si="12"/>
        <v>0.68</v>
      </c>
      <c r="Y23" s="54">
        <v>10</v>
      </c>
      <c r="Z23" s="49" t="str">
        <f t="shared" si="13"/>
        <v>Pass</v>
      </c>
      <c r="AA23" s="4">
        <f t="shared" si="14"/>
        <v>0.2</v>
      </c>
      <c r="AB23" s="54">
        <v>45</v>
      </c>
      <c r="AC23" s="49" t="str">
        <f t="shared" si="15"/>
        <v>Distinction</v>
      </c>
      <c r="AD23" s="4">
        <f t="shared" si="16"/>
        <v>0.9</v>
      </c>
    </row>
    <row r="24" spans="1:30" x14ac:dyDescent="0.3">
      <c r="A24" s="50" t="s">
        <v>47</v>
      </c>
      <c r="B24" s="48" t="s">
        <v>34</v>
      </c>
      <c r="C24" s="48" t="s">
        <v>64</v>
      </c>
      <c r="D24" s="51">
        <v>2612138898</v>
      </c>
      <c r="E24" s="12">
        <v>37166</v>
      </c>
      <c r="F24" s="51">
        <v>22</v>
      </c>
      <c r="G24" s="49" t="str">
        <f t="shared" si="0"/>
        <v>Pass</v>
      </c>
      <c r="H24" s="3">
        <f t="shared" si="1"/>
        <v>0.44</v>
      </c>
      <c r="I24" s="51">
        <v>14</v>
      </c>
      <c r="J24" s="49" t="str">
        <f t="shared" si="2"/>
        <v>Pass</v>
      </c>
      <c r="K24" s="3">
        <f t="shared" si="3"/>
        <v>0.28000000000000003</v>
      </c>
      <c r="L24" s="51">
        <v>25</v>
      </c>
      <c r="M24" s="49" t="str">
        <f t="shared" si="4"/>
        <v>Pass</v>
      </c>
      <c r="N24" s="3">
        <f t="shared" si="5"/>
        <v>0.5</v>
      </c>
      <c r="O24" s="51">
        <v>46</v>
      </c>
      <c r="P24" s="49" t="str">
        <f t="shared" si="6"/>
        <v>Distinction</v>
      </c>
      <c r="Q24" s="3">
        <f t="shared" si="7"/>
        <v>0.92</v>
      </c>
      <c r="R24" s="55">
        <f t="shared" si="8"/>
        <v>107</v>
      </c>
      <c r="S24" s="54">
        <v>32</v>
      </c>
      <c r="T24" s="49" t="str">
        <f t="shared" si="9"/>
        <v>Merit</v>
      </c>
      <c r="U24" s="4">
        <f t="shared" si="10"/>
        <v>0.64</v>
      </c>
      <c r="V24" s="54">
        <v>49</v>
      </c>
      <c r="W24" s="49" t="str">
        <f t="shared" si="11"/>
        <v>Distinction</v>
      </c>
      <c r="X24" s="4">
        <f t="shared" si="12"/>
        <v>0.98</v>
      </c>
      <c r="Y24" s="54">
        <v>48</v>
      </c>
      <c r="Z24" s="49" t="str">
        <f t="shared" si="13"/>
        <v>Distinction</v>
      </c>
      <c r="AA24" s="4">
        <f t="shared" si="14"/>
        <v>0.96</v>
      </c>
      <c r="AB24" s="54">
        <v>44</v>
      </c>
      <c r="AC24" s="49" t="str">
        <f t="shared" si="15"/>
        <v>Distinction</v>
      </c>
      <c r="AD24" s="4">
        <f t="shared" si="16"/>
        <v>0.88</v>
      </c>
    </row>
    <row r="25" spans="1:30" x14ac:dyDescent="0.3">
      <c r="A25" s="50" t="s">
        <v>13</v>
      </c>
      <c r="B25" s="49" t="s">
        <v>31</v>
      </c>
      <c r="C25" s="49" t="s">
        <v>63</v>
      </c>
      <c r="D25" s="52">
        <v>8845522680</v>
      </c>
      <c r="E25" s="9">
        <v>37261</v>
      </c>
      <c r="F25" s="52">
        <v>7</v>
      </c>
      <c r="G25" s="49" t="str">
        <f t="shared" si="0"/>
        <v>No Grade</v>
      </c>
      <c r="H25" s="1">
        <f t="shared" si="1"/>
        <v>0.14000000000000001</v>
      </c>
      <c r="I25" s="52">
        <v>25</v>
      </c>
      <c r="J25" s="49" t="str">
        <f t="shared" si="2"/>
        <v>Pass</v>
      </c>
      <c r="K25" s="1">
        <f t="shared" si="3"/>
        <v>0.5</v>
      </c>
      <c r="L25" s="52">
        <v>38</v>
      </c>
      <c r="M25" s="49" t="str">
        <f t="shared" si="4"/>
        <v>Merit</v>
      </c>
      <c r="N25" s="1">
        <f t="shared" si="5"/>
        <v>0.76</v>
      </c>
      <c r="O25" s="52">
        <v>37</v>
      </c>
      <c r="P25" s="49" t="str">
        <f t="shared" si="6"/>
        <v>Merit</v>
      </c>
      <c r="Q25" s="1">
        <f t="shared" si="7"/>
        <v>0.74</v>
      </c>
      <c r="R25" s="55">
        <f t="shared" si="8"/>
        <v>107</v>
      </c>
      <c r="S25" s="52">
        <v>19</v>
      </c>
      <c r="T25" s="49" t="str">
        <f t="shared" si="9"/>
        <v>Pass</v>
      </c>
      <c r="U25" s="1">
        <f t="shared" si="10"/>
        <v>0.38</v>
      </c>
      <c r="V25" s="52">
        <v>50</v>
      </c>
      <c r="W25" s="49" t="str">
        <f t="shared" si="11"/>
        <v>Distinction</v>
      </c>
      <c r="X25" s="1">
        <f t="shared" si="12"/>
        <v>1</v>
      </c>
      <c r="Y25" s="52">
        <v>34</v>
      </c>
      <c r="Z25" s="49" t="str">
        <f t="shared" si="13"/>
        <v>Merit</v>
      </c>
      <c r="AA25" s="1">
        <f t="shared" si="14"/>
        <v>0.68</v>
      </c>
      <c r="AB25" s="52">
        <v>24</v>
      </c>
      <c r="AC25" s="49" t="str">
        <f t="shared" si="15"/>
        <v>Pass</v>
      </c>
      <c r="AD25" s="1">
        <f t="shared" si="16"/>
        <v>0.48</v>
      </c>
    </row>
    <row r="26" spans="1:30" x14ac:dyDescent="0.3">
      <c r="A26" s="50" t="s">
        <v>21</v>
      </c>
      <c r="B26" s="48" t="s">
        <v>59</v>
      </c>
      <c r="C26" s="48" t="s">
        <v>64</v>
      </c>
      <c r="D26" s="51">
        <v>8824176796</v>
      </c>
      <c r="E26" s="12">
        <v>36811</v>
      </c>
      <c r="F26" s="51">
        <v>44</v>
      </c>
      <c r="G26" s="49" t="str">
        <f t="shared" si="0"/>
        <v>Distinction</v>
      </c>
      <c r="H26" s="3">
        <f t="shared" si="1"/>
        <v>0.88</v>
      </c>
      <c r="I26" s="51">
        <v>14</v>
      </c>
      <c r="J26" s="49" t="str">
        <f t="shared" si="2"/>
        <v>Pass</v>
      </c>
      <c r="K26" s="3">
        <f t="shared" si="3"/>
        <v>0.28000000000000003</v>
      </c>
      <c r="L26" s="51">
        <v>23</v>
      </c>
      <c r="M26" s="49" t="str">
        <f t="shared" si="4"/>
        <v>Pass</v>
      </c>
      <c r="N26" s="3">
        <f t="shared" si="5"/>
        <v>0.46</v>
      </c>
      <c r="O26" s="51">
        <v>50</v>
      </c>
      <c r="P26" s="49" t="str">
        <f t="shared" si="6"/>
        <v>Distinction</v>
      </c>
      <c r="Q26" s="3">
        <f t="shared" si="7"/>
        <v>1</v>
      </c>
      <c r="R26" s="55">
        <f t="shared" si="8"/>
        <v>131</v>
      </c>
      <c r="S26" s="54">
        <v>29</v>
      </c>
      <c r="T26" s="49" t="str">
        <f t="shared" si="9"/>
        <v>Pass</v>
      </c>
      <c r="U26" s="4">
        <f t="shared" si="10"/>
        <v>0.57999999999999996</v>
      </c>
      <c r="V26" s="54">
        <v>7</v>
      </c>
      <c r="W26" s="49" t="str">
        <f t="shared" si="11"/>
        <v>No Grade</v>
      </c>
      <c r="X26" s="4">
        <f t="shared" si="12"/>
        <v>0.14000000000000001</v>
      </c>
      <c r="Y26" s="54">
        <v>38</v>
      </c>
      <c r="Z26" s="49" t="str">
        <f t="shared" si="13"/>
        <v>Merit</v>
      </c>
      <c r="AA26" s="4">
        <f t="shared" si="14"/>
        <v>0.76</v>
      </c>
      <c r="AB26" s="54">
        <v>18</v>
      </c>
      <c r="AC26" s="49" t="str">
        <f t="shared" si="15"/>
        <v>Pass</v>
      </c>
      <c r="AD26" s="4">
        <f t="shared" si="16"/>
        <v>0.36</v>
      </c>
    </row>
    <row r="27" spans="1:30" x14ac:dyDescent="0.3">
      <c r="A27" s="47" t="s">
        <v>16</v>
      </c>
      <c r="B27" s="49" t="s">
        <v>52</v>
      </c>
      <c r="C27" s="49" t="s">
        <v>64</v>
      </c>
      <c r="D27" s="52">
        <v>8517352645</v>
      </c>
      <c r="E27" s="9" t="s">
        <v>220</v>
      </c>
      <c r="F27" s="52">
        <v>4</v>
      </c>
      <c r="G27" s="49" t="str">
        <f t="shared" si="0"/>
        <v>No Grade</v>
      </c>
      <c r="H27" s="1">
        <f t="shared" si="1"/>
        <v>0.08</v>
      </c>
      <c r="I27" s="52">
        <v>24</v>
      </c>
      <c r="J27" s="49" t="str">
        <f t="shared" si="2"/>
        <v>Pass</v>
      </c>
      <c r="K27" s="1">
        <f t="shared" si="3"/>
        <v>0.48</v>
      </c>
      <c r="L27" s="52">
        <v>36</v>
      </c>
      <c r="M27" s="49" t="str">
        <f t="shared" si="4"/>
        <v>Merit</v>
      </c>
      <c r="N27" s="1">
        <f t="shared" si="5"/>
        <v>0.72</v>
      </c>
      <c r="O27" s="52">
        <v>17</v>
      </c>
      <c r="P27" s="49" t="str">
        <f t="shared" si="6"/>
        <v>Pass</v>
      </c>
      <c r="Q27" s="1">
        <f t="shared" si="7"/>
        <v>0.34</v>
      </c>
      <c r="R27" s="55">
        <f t="shared" si="8"/>
        <v>81</v>
      </c>
      <c r="S27" s="52">
        <v>31</v>
      </c>
      <c r="T27" s="49" t="str">
        <f t="shared" si="9"/>
        <v>Merit</v>
      </c>
      <c r="U27" s="1">
        <f t="shared" si="10"/>
        <v>0.62</v>
      </c>
      <c r="V27" s="52">
        <v>31</v>
      </c>
      <c r="W27" s="49" t="str">
        <f t="shared" si="11"/>
        <v>Merit</v>
      </c>
      <c r="X27" s="1">
        <f t="shared" si="12"/>
        <v>0.62</v>
      </c>
      <c r="Y27" s="52">
        <v>46</v>
      </c>
      <c r="Z27" s="49" t="str">
        <f t="shared" si="13"/>
        <v>Distinction</v>
      </c>
      <c r="AA27" s="1">
        <f t="shared" si="14"/>
        <v>0.92</v>
      </c>
      <c r="AB27" s="52">
        <v>20</v>
      </c>
      <c r="AC27" s="49" t="str">
        <f t="shared" si="15"/>
        <v>Pass</v>
      </c>
      <c r="AD27" s="1">
        <f t="shared" si="16"/>
        <v>0.4</v>
      </c>
    </row>
    <row r="28" spans="1:30" x14ac:dyDescent="0.3">
      <c r="A28" s="50" t="s">
        <v>25</v>
      </c>
      <c r="B28" s="49" t="s">
        <v>62</v>
      </c>
      <c r="C28" s="49" t="s">
        <v>63</v>
      </c>
      <c r="D28" s="52">
        <v>1496035039</v>
      </c>
      <c r="E28" s="11" t="s">
        <v>226</v>
      </c>
      <c r="F28" s="52">
        <v>4</v>
      </c>
      <c r="G28" s="49" t="str">
        <f t="shared" si="0"/>
        <v>No Grade</v>
      </c>
      <c r="H28" s="1">
        <f t="shared" si="1"/>
        <v>0.08</v>
      </c>
      <c r="I28" s="52">
        <v>35</v>
      </c>
      <c r="J28" s="49" t="str">
        <f t="shared" si="2"/>
        <v>Merit</v>
      </c>
      <c r="K28" s="1">
        <f t="shared" si="3"/>
        <v>0.7</v>
      </c>
      <c r="L28" s="52">
        <v>40</v>
      </c>
      <c r="M28" s="49" t="str">
        <f t="shared" si="4"/>
        <v>Distinction</v>
      </c>
      <c r="N28" s="1">
        <f t="shared" si="5"/>
        <v>0.8</v>
      </c>
      <c r="O28" s="52">
        <v>16</v>
      </c>
      <c r="P28" s="49" t="str">
        <f t="shared" si="6"/>
        <v>Pass</v>
      </c>
      <c r="Q28" s="1">
        <f t="shared" si="7"/>
        <v>0.32</v>
      </c>
      <c r="R28" s="55">
        <f t="shared" si="8"/>
        <v>95</v>
      </c>
      <c r="S28" s="52">
        <v>38</v>
      </c>
      <c r="T28" s="49" t="str">
        <f t="shared" si="9"/>
        <v>Merit</v>
      </c>
      <c r="U28" s="1">
        <f t="shared" si="10"/>
        <v>0.76</v>
      </c>
      <c r="V28" s="52">
        <v>40</v>
      </c>
      <c r="W28" s="49" t="str">
        <f t="shared" si="11"/>
        <v>Distinction</v>
      </c>
      <c r="X28" s="1">
        <f t="shared" si="12"/>
        <v>0.8</v>
      </c>
      <c r="Y28" s="52">
        <v>38</v>
      </c>
      <c r="Z28" s="49" t="str">
        <f t="shared" si="13"/>
        <v>Merit</v>
      </c>
      <c r="AA28" s="1">
        <f t="shared" si="14"/>
        <v>0.76</v>
      </c>
      <c r="AB28" s="52">
        <v>26</v>
      </c>
      <c r="AC28" s="49" t="str">
        <f t="shared" si="15"/>
        <v>Pass</v>
      </c>
      <c r="AD28" s="1">
        <f t="shared" si="16"/>
        <v>0.52</v>
      </c>
    </row>
    <row r="29" spans="1:30" x14ac:dyDescent="0.3">
      <c r="A29" s="50" t="s">
        <v>23</v>
      </c>
      <c r="B29" s="49" t="s">
        <v>54</v>
      </c>
      <c r="C29" s="49" t="s">
        <v>63</v>
      </c>
      <c r="D29" s="52">
        <v>9427821221</v>
      </c>
      <c r="E29" s="9" t="s">
        <v>221</v>
      </c>
      <c r="F29" s="52">
        <v>50</v>
      </c>
      <c r="G29" s="49" t="str">
        <f t="shared" si="0"/>
        <v>Distinction</v>
      </c>
      <c r="H29" s="1">
        <f t="shared" si="1"/>
        <v>1</v>
      </c>
      <c r="I29" s="52">
        <v>50</v>
      </c>
      <c r="J29" s="49" t="str">
        <f t="shared" si="2"/>
        <v>Distinction</v>
      </c>
      <c r="K29" s="1">
        <f t="shared" si="3"/>
        <v>1</v>
      </c>
      <c r="L29" s="52">
        <v>50</v>
      </c>
      <c r="M29" s="49" t="str">
        <f t="shared" si="4"/>
        <v>Distinction</v>
      </c>
      <c r="N29" s="1">
        <f t="shared" si="5"/>
        <v>1</v>
      </c>
      <c r="O29" s="52">
        <v>50</v>
      </c>
      <c r="P29" s="49" t="str">
        <f t="shared" si="6"/>
        <v>Distinction</v>
      </c>
      <c r="Q29" s="1">
        <f t="shared" si="7"/>
        <v>1</v>
      </c>
      <c r="R29" s="55">
        <f t="shared" si="8"/>
        <v>200</v>
      </c>
      <c r="S29" s="52">
        <v>50</v>
      </c>
      <c r="T29" s="49" t="str">
        <f t="shared" si="9"/>
        <v>Distinction</v>
      </c>
      <c r="U29" s="1">
        <f t="shared" si="10"/>
        <v>1</v>
      </c>
      <c r="V29" s="52">
        <v>50</v>
      </c>
      <c r="W29" s="49" t="str">
        <f t="shared" si="11"/>
        <v>Distinction</v>
      </c>
      <c r="X29" s="1">
        <f t="shared" si="12"/>
        <v>1</v>
      </c>
      <c r="Y29" s="52">
        <v>50</v>
      </c>
      <c r="Z29" s="49" t="str">
        <f t="shared" si="13"/>
        <v>Distinction</v>
      </c>
      <c r="AA29" s="1">
        <f t="shared" si="14"/>
        <v>1</v>
      </c>
      <c r="AB29" s="52">
        <v>50</v>
      </c>
      <c r="AC29" s="49" t="str">
        <f t="shared" si="15"/>
        <v>Distinction</v>
      </c>
      <c r="AD29" s="1">
        <f t="shared" si="16"/>
        <v>1</v>
      </c>
    </row>
    <row r="30" spans="1:30" x14ac:dyDescent="0.3">
      <c r="A30" s="50" t="s">
        <v>45</v>
      </c>
      <c r="B30" s="48" t="s">
        <v>28</v>
      </c>
      <c r="C30" s="48" t="s">
        <v>63</v>
      </c>
      <c r="D30" s="53">
        <v>2989900916</v>
      </c>
      <c r="E30" s="12" t="s">
        <v>212</v>
      </c>
      <c r="F30" s="53">
        <v>49</v>
      </c>
      <c r="G30" s="49" t="str">
        <f t="shared" si="0"/>
        <v>Distinction</v>
      </c>
      <c r="H30" s="3">
        <f t="shared" si="1"/>
        <v>0.98</v>
      </c>
      <c r="I30" s="53">
        <v>31</v>
      </c>
      <c r="J30" s="49" t="str">
        <f t="shared" si="2"/>
        <v>Merit</v>
      </c>
      <c r="K30" s="3">
        <f t="shared" si="3"/>
        <v>0.62</v>
      </c>
      <c r="L30" s="53">
        <v>26</v>
      </c>
      <c r="M30" s="49" t="str">
        <f t="shared" si="4"/>
        <v>Pass</v>
      </c>
      <c r="N30" s="3">
        <f t="shared" si="5"/>
        <v>0.52</v>
      </c>
      <c r="O30" s="53">
        <v>40</v>
      </c>
      <c r="P30" s="49" t="str">
        <f t="shared" si="6"/>
        <v>Distinction</v>
      </c>
      <c r="Q30" s="3">
        <f t="shared" si="7"/>
        <v>0.8</v>
      </c>
      <c r="R30" s="55">
        <f t="shared" si="8"/>
        <v>146</v>
      </c>
      <c r="S30" s="54">
        <v>17</v>
      </c>
      <c r="T30" s="49" t="str">
        <f t="shared" si="9"/>
        <v>Pass</v>
      </c>
      <c r="U30" s="4">
        <f t="shared" si="10"/>
        <v>0.34</v>
      </c>
      <c r="V30" s="54">
        <v>34</v>
      </c>
      <c r="W30" s="49" t="str">
        <f t="shared" si="11"/>
        <v>Merit</v>
      </c>
      <c r="X30" s="4">
        <f t="shared" si="12"/>
        <v>0.68</v>
      </c>
      <c r="Y30" s="54">
        <v>24</v>
      </c>
      <c r="Z30" s="49" t="str">
        <f t="shared" si="13"/>
        <v>Pass</v>
      </c>
      <c r="AA30" s="4">
        <f t="shared" si="14"/>
        <v>0.48</v>
      </c>
      <c r="AB30" s="54">
        <v>6</v>
      </c>
      <c r="AC30" s="49" t="str">
        <f t="shared" si="15"/>
        <v>No Grade</v>
      </c>
      <c r="AD30" s="4">
        <f t="shared" si="16"/>
        <v>0.12</v>
      </c>
    </row>
    <row r="31" spans="1:30" x14ac:dyDescent="0.3">
      <c r="A31" s="47" t="s">
        <v>67</v>
      </c>
      <c r="B31" s="49" t="s">
        <v>73</v>
      </c>
      <c r="C31" s="49" t="s">
        <v>63</v>
      </c>
      <c r="D31" s="52">
        <v>9554197422</v>
      </c>
      <c r="E31" s="9" t="s">
        <v>228</v>
      </c>
      <c r="F31" s="52">
        <v>12</v>
      </c>
      <c r="G31" s="49" t="str">
        <f t="shared" si="0"/>
        <v>Pass</v>
      </c>
      <c r="H31" s="1">
        <f t="shared" si="1"/>
        <v>0.24</v>
      </c>
      <c r="I31" s="52">
        <v>17</v>
      </c>
      <c r="J31" s="49" t="str">
        <f t="shared" si="2"/>
        <v>Pass</v>
      </c>
      <c r="K31" s="1">
        <f t="shared" si="3"/>
        <v>0.34</v>
      </c>
      <c r="L31" s="52">
        <v>34</v>
      </c>
      <c r="M31" s="49" t="str">
        <f t="shared" si="4"/>
        <v>Merit</v>
      </c>
      <c r="N31" s="1">
        <f t="shared" si="5"/>
        <v>0.68</v>
      </c>
      <c r="O31" s="52">
        <v>47</v>
      </c>
      <c r="P31" s="49" t="str">
        <f t="shared" si="6"/>
        <v>Distinction</v>
      </c>
      <c r="Q31" s="1">
        <f t="shared" si="7"/>
        <v>0.94</v>
      </c>
      <c r="R31" s="55">
        <f t="shared" si="8"/>
        <v>110</v>
      </c>
      <c r="S31" s="52">
        <v>33</v>
      </c>
      <c r="T31" s="49" t="str">
        <f t="shared" si="9"/>
        <v>Merit</v>
      </c>
      <c r="U31" s="1">
        <f t="shared" si="10"/>
        <v>0.66</v>
      </c>
      <c r="V31" s="52">
        <v>1</v>
      </c>
      <c r="W31" s="49" t="str">
        <f t="shared" si="11"/>
        <v>No Grade</v>
      </c>
      <c r="X31" s="1">
        <f t="shared" si="12"/>
        <v>0.02</v>
      </c>
      <c r="Y31" s="52">
        <v>4</v>
      </c>
      <c r="Z31" s="49" t="str">
        <f t="shared" si="13"/>
        <v>No Grade</v>
      </c>
      <c r="AA31" s="1">
        <f t="shared" si="14"/>
        <v>0.08</v>
      </c>
      <c r="AB31" s="52">
        <v>12</v>
      </c>
      <c r="AC31" s="49" t="str">
        <f t="shared" si="15"/>
        <v>Pass</v>
      </c>
      <c r="AD31" s="1">
        <f t="shared" si="16"/>
        <v>0.24</v>
      </c>
    </row>
    <row r="32" spans="1:30" x14ac:dyDescent="0.3">
      <c r="A32" s="47" t="s">
        <v>42</v>
      </c>
      <c r="B32" s="48" t="s">
        <v>74</v>
      </c>
      <c r="C32" s="48" t="s">
        <v>63</v>
      </c>
      <c r="D32" s="51">
        <v>6130703705</v>
      </c>
      <c r="E32" s="12" t="s">
        <v>226</v>
      </c>
      <c r="F32" s="51">
        <v>6</v>
      </c>
      <c r="G32" s="49" t="str">
        <f t="shared" si="0"/>
        <v>No Grade</v>
      </c>
      <c r="H32" s="3">
        <f t="shared" si="1"/>
        <v>0.12</v>
      </c>
      <c r="I32" s="51">
        <v>26</v>
      </c>
      <c r="J32" s="49" t="str">
        <f t="shared" si="2"/>
        <v>Pass</v>
      </c>
      <c r="K32" s="3">
        <f t="shared" si="3"/>
        <v>0.52</v>
      </c>
      <c r="L32" s="51">
        <v>17</v>
      </c>
      <c r="M32" s="49" t="str">
        <f t="shared" si="4"/>
        <v>Pass</v>
      </c>
      <c r="N32" s="3">
        <f t="shared" si="5"/>
        <v>0.34</v>
      </c>
      <c r="O32" s="51">
        <v>3</v>
      </c>
      <c r="P32" s="49" t="str">
        <f t="shared" si="6"/>
        <v>No Grade</v>
      </c>
      <c r="Q32" s="3">
        <f t="shared" si="7"/>
        <v>0.06</v>
      </c>
      <c r="R32" s="55">
        <f t="shared" si="8"/>
        <v>52</v>
      </c>
      <c r="S32" s="54">
        <v>14</v>
      </c>
      <c r="T32" s="49" t="str">
        <f t="shared" si="9"/>
        <v>Pass</v>
      </c>
      <c r="U32" s="4">
        <f t="shared" si="10"/>
        <v>0.28000000000000003</v>
      </c>
      <c r="V32" s="54">
        <v>28</v>
      </c>
      <c r="W32" s="49" t="str">
        <f t="shared" si="11"/>
        <v>Pass</v>
      </c>
      <c r="X32" s="4">
        <f t="shared" si="12"/>
        <v>0.56000000000000005</v>
      </c>
      <c r="Y32" s="54">
        <v>18</v>
      </c>
      <c r="Z32" s="49" t="str">
        <f t="shared" si="13"/>
        <v>Pass</v>
      </c>
      <c r="AA32" s="4">
        <f t="shared" si="14"/>
        <v>0.36</v>
      </c>
      <c r="AB32" s="54">
        <v>44</v>
      </c>
      <c r="AC32" s="49" t="str">
        <f t="shared" si="15"/>
        <v>Distinction</v>
      </c>
      <c r="AD32" s="4">
        <f t="shared" si="16"/>
        <v>0.88</v>
      </c>
    </row>
    <row r="33" spans="1:30" x14ac:dyDescent="0.3">
      <c r="A33" s="47" t="s">
        <v>46</v>
      </c>
      <c r="B33" s="48" t="s">
        <v>61</v>
      </c>
      <c r="C33" s="48" t="s">
        <v>64</v>
      </c>
      <c r="D33" s="51">
        <v>222150719</v>
      </c>
      <c r="E33" s="10" t="s">
        <v>225</v>
      </c>
      <c r="F33" s="51">
        <v>37</v>
      </c>
      <c r="G33" s="49" t="str">
        <f t="shared" si="0"/>
        <v>Merit</v>
      </c>
      <c r="H33" s="3">
        <f t="shared" si="1"/>
        <v>0.74</v>
      </c>
      <c r="I33" s="51">
        <v>48</v>
      </c>
      <c r="J33" s="49" t="str">
        <f t="shared" si="2"/>
        <v>Distinction</v>
      </c>
      <c r="K33" s="3">
        <f t="shared" si="3"/>
        <v>0.96</v>
      </c>
      <c r="L33" s="51">
        <v>3</v>
      </c>
      <c r="M33" s="49" t="str">
        <f t="shared" si="4"/>
        <v>No Grade</v>
      </c>
      <c r="N33" s="3">
        <f t="shared" si="5"/>
        <v>0.06</v>
      </c>
      <c r="O33" s="51">
        <v>14</v>
      </c>
      <c r="P33" s="49" t="str">
        <f t="shared" si="6"/>
        <v>Pass</v>
      </c>
      <c r="Q33" s="3">
        <f t="shared" si="7"/>
        <v>0.28000000000000003</v>
      </c>
      <c r="R33" s="55">
        <f t="shared" si="8"/>
        <v>102</v>
      </c>
      <c r="S33" s="54">
        <v>46</v>
      </c>
      <c r="T33" s="49" t="str">
        <f t="shared" si="9"/>
        <v>Distinction</v>
      </c>
      <c r="U33" s="4">
        <f t="shared" si="10"/>
        <v>0.92</v>
      </c>
      <c r="V33" s="54">
        <v>36</v>
      </c>
      <c r="W33" s="49" t="str">
        <f t="shared" si="11"/>
        <v>Merit</v>
      </c>
      <c r="X33" s="4">
        <f t="shared" si="12"/>
        <v>0.72</v>
      </c>
      <c r="Y33" s="54">
        <v>41</v>
      </c>
      <c r="Z33" s="49" t="str">
        <f t="shared" si="13"/>
        <v>Distinction</v>
      </c>
      <c r="AA33" s="4">
        <f t="shared" si="14"/>
        <v>0.82</v>
      </c>
      <c r="AB33" s="54">
        <v>42</v>
      </c>
      <c r="AC33" s="49" t="str">
        <f t="shared" si="15"/>
        <v>Distinction</v>
      </c>
      <c r="AD33" s="4">
        <f t="shared" si="16"/>
        <v>0.84</v>
      </c>
    </row>
    <row r="34" spans="1:30" x14ac:dyDescent="0.3">
      <c r="A34" s="50" t="s">
        <v>15</v>
      </c>
      <c r="B34" s="48" t="s">
        <v>40</v>
      </c>
      <c r="C34" s="48" t="s">
        <v>63</v>
      </c>
      <c r="D34" s="51">
        <v>2852846174</v>
      </c>
      <c r="E34" s="12" t="s">
        <v>219</v>
      </c>
      <c r="F34" s="51">
        <v>25</v>
      </c>
      <c r="G34" s="49" t="str">
        <f t="shared" si="0"/>
        <v>Pass</v>
      </c>
      <c r="H34" s="3">
        <f t="shared" si="1"/>
        <v>0.5</v>
      </c>
      <c r="I34" s="51">
        <v>39</v>
      </c>
      <c r="J34" s="49" t="str">
        <f t="shared" si="2"/>
        <v>Merit</v>
      </c>
      <c r="K34" s="3">
        <f t="shared" si="3"/>
        <v>0.78</v>
      </c>
      <c r="L34" s="51">
        <v>23</v>
      </c>
      <c r="M34" s="49" t="str">
        <f t="shared" si="4"/>
        <v>Pass</v>
      </c>
      <c r="N34" s="3">
        <f t="shared" si="5"/>
        <v>0.46</v>
      </c>
      <c r="O34" s="51">
        <v>34</v>
      </c>
      <c r="P34" s="49" t="str">
        <f t="shared" si="6"/>
        <v>Merit</v>
      </c>
      <c r="Q34" s="3">
        <f t="shared" si="7"/>
        <v>0.68</v>
      </c>
      <c r="R34" s="55">
        <f t="shared" si="8"/>
        <v>121</v>
      </c>
      <c r="S34" s="54">
        <v>18</v>
      </c>
      <c r="T34" s="49" t="str">
        <f t="shared" si="9"/>
        <v>Pass</v>
      </c>
      <c r="U34" s="4">
        <f t="shared" si="10"/>
        <v>0.36</v>
      </c>
      <c r="V34" s="54">
        <v>2</v>
      </c>
      <c r="W34" s="49" t="str">
        <f t="shared" si="11"/>
        <v>No Grade</v>
      </c>
      <c r="X34" s="4">
        <f t="shared" si="12"/>
        <v>0.04</v>
      </c>
      <c r="Y34" s="54">
        <v>11</v>
      </c>
      <c r="Z34" s="49" t="str">
        <f t="shared" si="13"/>
        <v>Pass</v>
      </c>
      <c r="AA34" s="4">
        <f t="shared" si="14"/>
        <v>0.22</v>
      </c>
      <c r="AB34" s="54">
        <v>39</v>
      </c>
      <c r="AC34" s="49" t="str">
        <f t="shared" si="15"/>
        <v>Merit</v>
      </c>
      <c r="AD34" s="4">
        <f t="shared" si="16"/>
        <v>0.78</v>
      </c>
    </row>
    <row r="35" spans="1:30" x14ac:dyDescent="0.3">
      <c r="A35" s="47" t="s">
        <v>44</v>
      </c>
      <c r="B35" s="48" t="s">
        <v>38</v>
      </c>
      <c r="C35" s="48" t="s">
        <v>63</v>
      </c>
      <c r="D35" s="51">
        <v>1320917775</v>
      </c>
      <c r="E35" s="10" t="s">
        <v>217</v>
      </c>
      <c r="F35" s="51">
        <v>7</v>
      </c>
      <c r="G35" s="49" t="str">
        <f t="shared" si="0"/>
        <v>No Grade</v>
      </c>
      <c r="H35" s="3">
        <f t="shared" si="1"/>
        <v>0.14000000000000001</v>
      </c>
      <c r="I35" s="51">
        <v>22</v>
      </c>
      <c r="J35" s="49" t="str">
        <f t="shared" si="2"/>
        <v>Pass</v>
      </c>
      <c r="K35" s="3">
        <f t="shared" si="3"/>
        <v>0.44</v>
      </c>
      <c r="L35" s="51">
        <v>27</v>
      </c>
      <c r="M35" s="49" t="str">
        <f t="shared" si="4"/>
        <v>Pass</v>
      </c>
      <c r="N35" s="3">
        <f t="shared" si="5"/>
        <v>0.54</v>
      </c>
      <c r="O35" s="51">
        <v>18</v>
      </c>
      <c r="P35" s="49" t="str">
        <f t="shared" si="6"/>
        <v>Pass</v>
      </c>
      <c r="Q35" s="3">
        <f t="shared" si="7"/>
        <v>0.36</v>
      </c>
      <c r="R35" s="55">
        <f t="shared" si="8"/>
        <v>74</v>
      </c>
      <c r="S35" s="54">
        <v>16</v>
      </c>
      <c r="T35" s="49" t="str">
        <f t="shared" si="9"/>
        <v>Pass</v>
      </c>
      <c r="U35" s="4">
        <f t="shared" si="10"/>
        <v>0.32</v>
      </c>
      <c r="V35" s="54">
        <v>43</v>
      </c>
      <c r="W35" s="49" t="str">
        <f t="shared" si="11"/>
        <v>Distinction</v>
      </c>
      <c r="X35" s="4">
        <f t="shared" si="12"/>
        <v>0.86</v>
      </c>
      <c r="Y35" s="54">
        <v>38</v>
      </c>
      <c r="Z35" s="49" t="str">
        <f t="shared" si="13"/>
        <v>Merit</v>
      </c>
      <c r="AA35" s="4">
        <f t="shared" si="14"/>
        <v>0.76</v>
      </c>
      <c r="AB35" s="54">
        <v>8</v>
      </c>
      <c r="AC35" s="49" t="str">
        <f t="shared" si="15"/>
        <v>No Grade</v>
      </c>
      <c r="AD35" s="4">
        <f t="shared" si="16"/>
        <v>0.16</v>
      </c>
    </row>
    <row r="38" spans="1:30" ht="23.4" x14ac:dyDescent="0.3">
      <c r="B38" s="105"/>
      <c r="C38" s="105"/>
      <c r="D38" s="105"/>
      <c r="E38" s="105"/>
      <c r="H38" s="112"/>
      <c r="I38" s="106" t="s">
        <v>322</v>
      </c>
      <c r="J38" s="107"/>
      <c r="K38" s="107"/>
      <c r="L38" s="107"/>
      <c r="M38" s="107"/>
      <c r="N38" s="107"/>
      <c r="O38" s="107"/>
      <c r="P38" s="108"/>
      <c r="R38" s="106" t="s">
        <v>0</v>
      </c>
      <c r="S38" s="107"/>
      <c r="T38" s="108"/>
    </row>
    <row r="39" spans="1:30" ht="19.95" customHeight="1" x14ac:dyDescent="0.3">
      <c r="B39" s="105"/>
      <c r="C39" s="105"/>
      <c r="D39" s="105"/>
      <c r="E39" s="105"/>
      <c r="H39" s="112"/>
      <c r="I39" s="109" t="s">
        <v>5</v>
      </c>
      <c r="J39" s="110"/>
      <c r="K39" s="110"/>
      <c r="L39" s="111"/>
      <c r="M39" s="109" t="s">
        <v>12</v>
      </c>
      <c r="N39" s="110"/>
      <c r="O39" s="110"/>
      <c r="P39" s="111"/>
      <c r="R39" s="46" t="s">
        <v>88</v>
      </c>
      <c r="S39" s="103">
        <f>COUNTA(FirstName)</f>
        <v>30</v>
      </c>
      <c r="T39" s="104"/>
    </row>
    <row r="40" spans="1:30" ht="19.95" customHeight="1" x14ac:dyDescent="0.3">
      <c r="B40" s="105"/>
      <c r="C40" s="105"/>
      <c r="D40" s="105"/>
      <c r="E40" s="105"/>
      <c r="H40" s="113"/>
      <c r="I40" s="46" t="s">
        <v>84</v>
      </c>
      <c r="J40" s="46" t="s">
        <v>85</v>
      </c>
      <c r="K40" s="46" t="s">
        <v>315</v>
      </c>
      <c r="L40" s="46" t="s">
        <v>86</v>
      </c>
      <c r="M40" s="46" t="s">
        <v>84</v>
      </c>
      <c r="N40" s="46" t="s">
        <v>85</v>
      </c>
      <c r="O40" s="46" t="s">
        <v>315</v>
      </c>
      <c r="P40" s="46" t="s">
        <v>86</v>
      </c>
      <c r="R40" s="46" t="s">
        <v>79</v>
      </c>
      <c r="S40" s="101">
        <f>AVERAGE(R6:R35)</f>
        <v>111.86666666666666</v>
      </c>
      <c r="T40" s="102"/>
    </row>
    <row r="41" spans="1:30" ht="19.95" customHeight="1" x14ac:dyDescent="0.3">
      <c r="B41" s="105"/>
      <c r="C41" s="105"/>
      <c r="D41" s="105"/>
      <c r="E41" s="105"/>
      <c r="H41" s="56" t="s">
        <v>83</v>
      </c>
      <c r="I41" s="60">
        <f>COUNTIF(G6:G35,"Distinction")</f>
        <v>7</v>
      </c>
      <c r="J41" s="60">
        <f>COUNTIF(J6:J35,"Distinction")</f>
        <v>5</v>
      </c>
      <c r="K41" s="60">
        <f>COUNTIF(M6:M35,"Distinction")</f>
        <v>6</v>
      </c>
      <c r="L41" s="60">
        <f>COUNTIF(P6:P35,"Distinction")</f>
        <v>11</v>
      </c>
      <c r="M41" s="60">
        <f>COUNTIF(T6:T35,"Distinction")</f>
        <v>6</v>
      </c>
      <c r="N41" s="60">
        <f>COUNTIF(W6:W35,"Distinction")</f>
        <v>10</v>
      </c>
      <c r="O41" s="60">
        <f>COUNTIF(Z6:Z35,"Distinction")</f>
        <v>10</v>
      </c>
      <c r="P41" s="60">
        <f>COUNTIF(AC6:AC35,"Distinction")</f>
        <v>9</v>
      </c>
      <c r="R41" s="46" t="s">
        <v>314</v>
      </c>
      <c r="S41" s="103">
        <f>MAX(R6:R35)</f>
        <v>200</v>
      </c>
      <c r="T41" s="104"/>
    </row>
    <row r="42" spans="1:30" ht="19.95" customHeight="1" x14ac:dyDescent="0.3">
      <c r="B42" s="105"/>
      <c r="C42" s="105"/>
      <c r="D42" s="105"/>
      <c r="E42" s="105"/>
      <c r="H42" s="57" t="s">
        <v>82</v>
      </c>
      <c r="I42" s="51">
        <f>COUNTIF(G6:G35,"Merit")</f>
        <v>8</v>
      </c>
      <c r="J42" s="51">
        <f>COUNTIF(J6:J35,"Merit")</f>
        <v>6</v>
      </c>
      <c r="K42" s="51">
        <f>COUNTIF(M6:M35,"Merit")</f>
        <v>7</v>
      </c>
      <c r="L42" s="51">
        <f>COUNTIF(P6:P35,"Merit")</f>
        <v>5</v>
      </c>
      <c r="M42" s="51">
        <f>COUNTIF(T6:T35,"Merit")</f>
        <v>7</v>
      </c>
      <c r="N42" s="51">
        <f>COUNTIF(W6:W35,"Merit")</f>
        <v>8</v>
      </c>
      <c r="O42" s="51">
        <f>COUNTIF(Z6:Z35,"Merit")</f>
        <v>6</v>
      </c>
      <c r="P42" s="51">
        <f>COUNTIF(AC6:AC35,"Merit")</f>
        <v>3</v>
      </c>
      <c r="Q42" s="5"/>
      <c r="R42" s="46" t="s">
        <v>89</v>
      </c>
      <c r="S42" s="103">
        <f>MIN(R6:R35)</f>
        <v>37</v>
      </c>
      <c r="T42" s="104"/>
    </row>
    <row r="43" spans="1:30" ht="17.7" customHeight="1" x14ac:dyDescent="0.3">
      <c r="H43" s="58" t="s">
        <v>81</v>
      </c>
      <c r="I43" s="60">
        <f>COUNTIF(G6:G35,"Pass")</f>
        <v>9</v>
      </c>
      <c r="J43" s="60">
        <f>COUNTIF(J6:J35,"Pass")</f>
        <v>18</v>
      </c>
      <c r="K43" s="60">
        <f>COUNTIF(M6:M35,"Pass")</f>
        <v>13</v>
      </c>
      <c r="L43" s="60">
        <f>COUNTIF(P6:P35,"Pass")</f>
        <v>9</v>
      </c>
      <c r="M43" s="60">
        <f>COUNTIF(T6:T35,"Pass")</f>
        <v>15</v>
      </c>
      <c r="N43" s="60">
        <f>COUNTIF(W6:W35,"Pass")</f>
        <v>6</v>
      </c>
      <c r="O43" s="60">
        <f>COUNTIF(Z6:Z35,"Pass")</f>
        <v>9</v>
      </c>
      <c r="P43" s="60">
        <f>COUNTIF(AC6:AC35,"Pass")</f>
        <v>11</v>
      </c>
    </row>
    <row r="44" spans="1:30" ht="17.7" customHeight="1" x14ac:dyDescent="0.3">
      <c r="B44" s="100"/>
      <c r="C44" s="100"/>
      <c r="D44" s="100"/>
      <c r="E44" s="100"/>
      <c r="F44" s="16"/>
      <c r="H44" s="59" t="s">
        <v>80</v>
      </c>
      <c r="I44" s="51">
        <f>COUNTIF(G6:G35,"No Grade")</f>
        <v>6</v>
      </c>
      <c r="J44" s="51">
        <f>COUNTIF(J6:J35,"No Grade")</f>
        <v>1</v>
      </c>
      <c r="K44" s="51">
        <f>COUNTIF(M6:M35,"No Grade")</f>
        <v>4</v>
      </c>
      <c r="L44" s="51">
        <f>COUNTIF(P6:P35,"No Grade")</f>
        <v>5</v>
      </c>
      <c r="M44" s="51">
        <f>COUNTIF(T6:T35,"No Grade")</f>
        <v>2</v>
      </c>
      <c r="N44" s="51">
        <f>COUNTIF(W6:W35,"No Grade")</f>
        <v>6</v>
      </c>
      <c r="O44" s="51">
        <f>COUNTIF(Z6:Z35,"No Grade")</f>
        <v>5</v>
      </c>
      <c r="P44" s="51">
        <f>COUNTIF(AC6:AC35,"No Grade")</f>
        <v>7</v>
      </c>
    </row>
    <row r="45" spans="1:30" ht="17.7" customHeight="1" x14ac:dyDescent="0.3">
      <c r="B45" s="100"/>
      <c r="C45" s="100"/>
      <c r="D45" s="100"/>
      <c r="E45" s="100"/>
      <c r="F45" s="16"/>
    </row>
    <row r="46" spans="1:30" ht="17.7" customHeight="1" x14ac:dyDescent="0.3">
      <c r="B46" s="100"/>
      <c r="C46" s="100"/>
      <c r="D46" s="100"/>
      <c r="E46" s="100"/>
      <c r="F46" s="16"/>
    </row>
    <row r="47" spans="1:30" ht="19.95" customHeight="1" x14ac:dyDescent="0.3">
      <c r="B47" s="100"/>
      <c r="C47" s="100"/>
      <c r="D47" s="100"/>
      <c r="E47" s="100"/>
      <c r="F47" s="16"/>
    </row>
    <row r="48" spans="1:30" ht="19.95" customHeight="1" x14ac:dyDescent="0.3">
      <c r="B48" s="42"/>
      <c r="C48" s="42"/>
      <c r="D48" s="42"/>
      <c r="E48" s="42"/>
      <c r="F48" s="16"/>
    </row>
    <row r="49" spans="11:24" ht="19.95" customHeight="1" x14ac:dyDescent="0.3"/>
    <row r="58" spans="11:24" ht="19.95" customHeight="1" x14ac:dyDescent="0.3"/>
    <row r="60" spans="11:24" x14ac:dyDescent="0.3">
      <c r="K60" s="2"/>
      <c r="L60" s="2"/>
      <c r="M60" s="2"/>
      <c r="N60" s="2"/>
      <c r="O60" s="2"/>
    </row>
    <row r="64" spans="11:24" ht="15.6" x14ac:dyDescent="0.3">
      <c r="X64" s="8"/>
    </row>
  </sheetData>
  <sheetProtection sheet="1" objects="1" scenarios="1" sort="0" autoFilter="0"/>
  <sortState xmlns:xlrd2="http://schemas.microsoft.com/office/spreadsheetml/2017/richdata2" ref="A6:AD35">
    <sortCondition ref="A6:A35"/>
  </sortState>
  <mergeCells count="28">
    <mergeCell ref="A1:AD2"/>
    <mergeCell ref="AB4:AD4"/>
    <mergeCell ref="Y4:AA4"/>
    <mergeCell ref="V4:X4"/>
    <mergeCell ref="S4:U4"/>
    <mergeCell ref="S3:AD3"/>
    <mergeCell ref="R3:R5"/>
    <mergeCell ref="O4:Q4"/>
    <mergeCell ref="F3:Q3"/>
    <mergeCell ref="B3:B5"/>
    <mergeCell ref="C3:C5"/>
    <mergeCell ref="D3:D5"/>
    <mergeCell ref="A3:A5"/>
    <mergeCell ref="F4:H4"/>
    <mergeCell ref="I4:K4"/>
    <mergeCell ref="L4:N4"/>
    <mergeCell ref="E3:E5"/>
    <mergeCell ref="B44:E47"/>
    <mergeCell ref="S40:T40"/>
    <mergeCell ref="S41:T41"/>
    <mergeCell ref="S42:T42"/>
    <mergeCell ref="B38:E42"/>
    <mergeCell ref="I38:P38"/>
    <mergeCell ref="I39:L39"/>
    <mergeCell ref="M39:P39"/>
    <mergeCell ref="H38:H40"/>
    <mergeCell ref="R38:T38"/>
    <mergeCell ref="S39:T39"/>
  </mergeCells>
  <phoneticPr fontId="1" type="noConversion"/>
  <conditionalFormatting sqref="G6:G35">
    <cfRule type="cellIs" dxfId="351" priority="42" operator="equal">
      <formula>"Distinction"</formula>
    </cfRule>
    <cfRule type="cellIs" dxfId="350" priority="43" operator="equal">
      <formula>"Distinction"</formula>
    </cfRule>
  </conditionalFormatting>
  <conditionalFormatting sqref="G6:G35">
    <cfRule type="cellIs" dxfId="349" priority="41" operator="equal">
      <formula>"Merit"</formula>
    </cfRule>
  </conditionalFormatting>
  <conditionalFormatting sqref="G6:G35">
    <cfRule type="cellIs" dxfId="348" priority="40" operator="equal">
      <formula>"Pass"</formula>
    </cfRule>
  </conditionalFormatting>
  <conditionalFormatting sqref="G6:G35">
    <cfRule type="cellIs" dxfId="347" priority="39" operator="equal">
      <formula>"No Grade"</formula>
    </cfRule>
  </conditionalFormatting>
  <conditionalFormatting sqref="J6:J35">
    <cfRule type="cellIs" dxfId="346" priority="37" operator="equal">
      <formula>"Distinction"</formula>
    </cfRule>
    <cfRule type="cellIs" dxfId="345" priority="38" operator="equal">
      <formula>"Distinction"</formula>
    </cfRule>
  </conditionalFormatting>
  <conditionalFormatting sqref="J6:J35">
    <cfRule type="cellIs" dxfId="344" priority="36" operator="equal">
      <formula>"Merit"</formula>
    </cfRule>
  </conditionalFormatting>
  <conditionalFormatting sqref="J6:J35">
    <cfRule type="cellIs" dxfId="343" priority="35" operator="equal">
      <formula>"Pass"</formula>
    </cfRule>
  </conditionalFormatting>
  <conditionalFormatting sqref="J6:J35">
    <cfRule type="cellIs" dxfId="342" priority="34" operator="equal">
      <formula>"No Grade"</formula>
    </cfRule>
  </conditionalFormatting>
  <conditionalFormatting sqref="M6:M35">
    <cfRule type="cellIs" dxfId="341" priority="32" operator="equal">
      <formula>"Distinction"</formula>
    </cfRule>
    <cfRule type="cellIs" dxfId="340" priority="33" operator="equal">
      <formula>"Distinction"</formula>
    </cfRule>
  </conditionalFormatting>
  <conditionalFormatting sqref="M6:M35">
    <cfRule type="cellIs" dxfId="339" priority="31" operator="equal">
      <formula>"Merit"</formula>
    </cfRule>
  </conditionalFormatting>
  <conditionalFormatting sqref="M6:M35">
    <cfRule type="cellIs" dxfId="338" priority="30" operator="equal">
      <formula>"Pass"</formula>
    </cfRule>
  </conditionalFormatting>
  <conditionalFormatting sqref="M6:M35">
    <cfRule type="cellIs" dxfId="337" priority="29" operator="equal">
      <formula>"No Grade"</formula>
    </cfRule>
  </conditionalFormatting>
  <conditionalFormatting sqref="P6:P35">
    <cfRule type="cellIs" dxfId="336" priority="27" operator="equal">
      <formula>"Distinction"</formula>
    </cfRule>
    <cfRule type="cellIs" dxfId="335" priority="28" operator="equal">
      <formula>"Distinction"</formula>
    </cfRule>
  </conditionalFormatting>
  <conditionalFormatting sqref="P6:P35">
    <cfRule type="cellIs" dxfId="334" priority="26" operator="equal">
      <formula>"Merit"</formula>
    </cfRule>
  </conditionalFormatting>
  <conditionalFormatting sqref="P6:P35">
    <cfRule type="cellIs" dxfId="333" priority="25" operator="equal">
      <formula>"Pass"</formula>
    </cfRule>
  </conditionalFormatting>
  <conditionalFormatting sqref="P6:P35">
    <cfRule type="cellIs" dxfId="332" priority="24" operator="equal">
      <formula>"No Grade"</formula>
    </cfRule>
  </conditionalFormatting>
  <conditionalFormatting sqref="T6:T35">
    <cfRule type="cellIs" dxfId="331" priority="22" operator="equal">
      <formula>"Distinction"</formula>
    </cfRule>
    <cfRule type="cellIs" dxfId="330" priority="23" operator="equal">
      <formula>"Distinction"</formula>
    </cfRule>
  </conditionalFormatting>
  <conditionalFormatting sqref="T6:T35">
    <cfRule type="cellIs" dxfId="329" priority="21" operator="equal">
      <formula>"Merit"</formula>
    </cfRule>
  </conditionalFormatting>
  <conditionalFormatting sqref="T6:T35">
    <cfRule type="cellIs" dxfId="328" priority="20" operator="equal">
      <formula>"Pass"</formula>
    </cfRule>
  </conditionalFormatting>
  <conditionalFormatting sqref="T6:T35">
    <cfRule type="cellIs" dxfId="327" priority="19" operator="equal">
      <formula>"No Grade"</formula>
    </cfRule>
  </conditionalFormatting>
  <conditionalFormatting sqref="W6:W35">
    <cfRule type="cellIs" dxfId="326" priority="17" operator="equal">
      <formula>"Distinction"</formula>
    </cfRule>
    <cfRule type="cellIs" dxfId="325" priority="18" operator="equal">
      <formula>"Distinction"</formula>
    </cfRule>
  </conditionalFormatting>
  <conditionalFormatting sqref="W6:W35">
    <cfRule type="cellIs" dxfId="324" priority="16" operator="equal">
      <formula>"Merit"</formula>
    </cfRule>
  </conditionalFormatting>
  <conditionalFormatting sqref="W6:W35">
    <cfRule type="cellIs" dxfId="323" priority="15" operator="equal">
      <formula>"Pass"</formula>
    </cfRule>
  </conditionalFormatting>
  <conditionalFormatting sqref="W6:W35">
    <cfRule type="cellIs" dxfId="322" priority="14" operator="equal">
      <formula>"No Grade"</formula>
    </cfRule>
  </conditionalFormatting>
  <conditionalFormatting sqref="Z6:Z35">
    <cfRule type="cellIs" dxfId="321" priority="12" operator="equal">
      <formula>"Distinction"</formula>
    </cfRule>
    <cfRule type="cellIs" dxfId="320" priority="13" operator="equal">
      <formula>"Distinction"</formula>
    </cfRule>
  </conditionalFormatting>
  <conditionalFormatting sqref="Z6:Z35">
    <cfRule type="cellIs" dxfId="319" priority="11" operator="equal">
      <formula>"Merit"</formula>
    </cfRule>
  </conditionalFormatting>
  <conditionalFormatting sqref="Z6:Z35">
    <cfRule type="cellIs" dxfId="318" priority="10" operator="equal">
      <formula>"Pass"</formula>
    </cfRule>
  </conditionalFormatting>
  <conditionalFormatting sqref="Z6:Z35">
    <cfRule type="cellIs" dxfId="317" priority="9" operator="equal">
      <formula>"No Grade"</formula>
    </cfRule>
  </conditionalFormatting>
  <conditionalFormatting sqref="AC6:AC35">
    <cfRule type="cellIs" dxfId="316" priority="7" operator="equal">
      <formula>"Distinction"</formula>
    </cfRule>
    <cfRule type="cellIs" dxfId="315" priority="8" operator="equal">
      <formula>"Distinction"</formula>
    </cfRule>
  </conditionalFormatting>
  <conditionalFormatting sqref="AC6:AC35">
    <cfRule type="cellIs" dxfId="314" priority="6" operator="equal">
      <formula>"Merit"</formula>
    </cfRule>
  </conditionalFormatting>
  <conditionalFormatting sqref="AC6:AC35">
    <cfRule type="cellIs" dxfId="313" priority="5" operator="equal">
      <formula>"Pass"</formula>
    </cfRule>
  </conditionalFormatting>
  <conditionalFormatting sqref="AC6:AC35">
    <cfRule type="cellIs" dxfId="312" priority="4" operator="equal">
      <formula>"No Grade"</formula>
    </cfRule>
  </conditionalFormatting>
  <conditionalFormatting sqref="R6:R35">
    <cfRule type="dataBar" priority="1">
      <dataBar>
        <cfvo type="min"/>
        <cfvo type="max"/>
        <color rgb="FFD6007B"/>
      </dataBar>
      <extLst>
        <ext xmlns:x14="http://schemas.microsoft.com/office/spreadsheetml/2009/9/main" uri="{B025F937-C7B1-47D3-B67F-A62EFF666E3E}">
          <x14:id>{72D7311F-ABC9-43F1-BFF3-C3B8A38894E0}</x14:id>
        </ext>
      </extLst>
    </cfRule>
  </conditionalFormatting>
  <pageMargins left="0.7" right="0.7" top="0.75" bottom="0.75" header="0.3" footer="0.3"/>
  <pageSetup paperSize="9" orientation="portrait" horizontalDpi="300" verticalDpi="0" r:id="rId1"/>
  <drawing r:id="rId2"/>
  <extLst>
    <ext xmlns:x14="http://schemas.microsoft.com/office/spreadsheetml/2009/9/main" uri="{78C0D931-6437-407d-A8EE-F0AAD7539E65}">
      <x14:conditionalFormattings>
        <x14:conditionalFormatting xmlns:xm="http://schemas.microsoft.com/office/excel/2006/main">
          <x14:cfRule type="dataBar" id="{72D7311F-ABC9-43F1-BFF3-C3B8A38894E0}">
            <x14:dataBar minLength="0" maxLength="100" border="1" negativeBarBorderColorSameAsPositive="0">
              <x14:cfvo type="autoMin"/>
              <x14:cfvo type="autoMax"/>
              <x14:borderColor rgb="FFD6007B"/>
              <x14:negativeFillColor rgb="FFFF0000"/>
              <x14:negativeBorderColor rgb="FFFF0000"/>
              <x14:axisColor rgb="FF000000"/>
            </x14:dataBar>
          </x14:cfRule>
          <xm:sqref>R6:R35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D50"/>
  <sheetViews>
    <sheetView zoomScale="55" zoomScaleNormal="55" workbookViewId="0">
      <pane xSplit="1" topLeftCell="B1" activePane="topRight" state="frozen"/>
      <selection pane="topRight" activeCell="K46" sqref="K46"/>
    </sheetView>
  </sheetViews>
  <sheetFormatPr defaultRowHeight="14.4" x14ac:dyDescent="0.3"/>
  <cols>
    <col min="1" max="1" width="15.109375" bestFit="1" customWidth="1"/>
    <col min="2" max="2" width="23.6640625" customWidth="1"/>
    <col min="3" max="3" width="10.6640625" bestFit="1" customWidth="1"/>
    <col min="4" max="4" width="14.6640625" bestFit="1" customWidth="1"/>
    <col min="5" max="5" width="13.6640625" bestFit="1" customWidth="1"/>
    <col min="6" max="6" width="7.6640625" bestFit="1" customWidth="1"/>
    <col min="7" max="7" width="11" customWidth="1"/>
    <col min="8" max="8" width="17.33203125" bestFit="1" customWidth="1"/>
    <col min="9" max="9" width="7.6640625" bestFit="1" customWidth="1"/>
    <col min="10" max="10" width="11" customWidth="1"/>
    <col min="11" max="11" width="15.6640625" bestFit="1" customWidth="1"/>
    <col min="12" max="12" width="7.6640625" bestFit="1" customWidth="1"/>
    <col min="13" max="13" width="11" customWidth="1"/>
    <col min="14" max="14" width="15.6640625" bestFit="1" customWidth="1"/>
    <col min="15" max="15" width="7.6640625" bestFit="1" customWidth="1"/>
    <col min="16" max="16" width="11" customWidth="1"/>
    <col min="17" max="17" width="15.6640625" bestFit="1" customWidth="1"/>
    <col min="18" max="18" width="27.44140625" bestFit="1" customWidth="1"/>
    <col min="19" max="19" width="7.6640625" bestFit="1" customWidth="1"/>
    <col min="20" max="20" width="11" customWidth="1"/>
    <col min="21" max="21" width="15.6640625" bestFit="1" customWidth="1"/>
    <col min="22" max="22" width="7.6640625" bestFit="1" customWidth="1"/>
    <col min="23" max="23" width="11" customWidth="1"/>
    <col min="24" max="24" width="15.6640625" bestFit="1" customWidth="1"/>
    <col min="25" max="25" width="7.6640625" bestFit="1" customWidth="1"/>
    <col min="26" max="26" width="11" customWidth="1"/>
    <col min="27" max="27" width="15.6640625" bestFit="1" customWidth="1"/>
    <col min="28" max="28" width="7.6640625" bestFit="1" customWidth="1"/>
    <col min="29" max="29" width="11" customWidth="1"/>
    <col min="30" max="30" width="15.6640625" bestFit="1" customWidth="1"/>
    <col min="33" max="33" width="8.44140625" customWidth="1"/>
  </cols>
  <sheetData>
    <row r="1" spans="1:30" x14ac:dyDescent="0.3">
      <c r="A1" s="114" t="s">
        <v>271</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6"/>
    </row>
    <row r="2" spans="1:30" x14ac:dyDescent="0.3">
      <c r="A2" s="117"/>
      <c r="B2" s="118"/>
      <c r="C2" s="118"/>
      <c r="D2" s="118"/>
      <c r="E2" s="118"/>
      <c r="F2" s="118"/>
      <c r="G2" s="118"/>
      <c r="H2" s="118"/>
      <c r="I2" s="118"/>
      <c r="J2" s="118"/>
      <c r="K2" s="118"/>
      <c r="L2" s="118"/>
      <c r="M2" s="118"/>
      <c r="N2" s="118"/>
      <c r="O2" s="118"/>
      <c r="P2" s="118"/>
      <c r="Q2" s="118"/>
      <c r="R2" s="118"/>
      <c r="S2" s="118"/>
      <c r="T2" s="118"/>
      <c r="U2" s="118"/>
      <c r="V2" s="118"/>
      <c r="W2" s="118"/>
      <c r="X2" s="118"/>
      <c r="Y2" s="118"/>
      <c r="Z2" s="118"/>
      <c r="AA2" s="118"/>
      <c r="AB2" s="118"/>
      <c r="AC2" s="118"/>
      <c r="AD2" s="119"/>
    </row>
    <row r="3" spans="1:30" ht="15.6" customHeight="1" x14ac:dyDescent="0.3">
      <c r="A3" s="120" t="s">
        <v>1</v>
      </c>
      <c r="B3" s="120" t="s">
        <v>2</v>
      </c>
      <c r="C3" s="120" t="s">
        <v>4</v>
      </c>
      <c r="D3" s="120" t="s">
        <v>210</v>
      </c>
      <c r="E3" s="120" t="s">
        <v>3</v>
      </c>
      <c r="F3" s="120" t="s">
        <v>5</v>
      </c>
      <c r="G3" s="120"/>
      <c r="H3" s="120"/>
      <c r="I3" s="120"/>
      <c r="J3" s="120"/>
      <c r="K3" s="120"/>
      <c r="L3" s="120"/>
      <c r="M3" s="120"/>
      <c r="N3" s="120"/>
      <c r="O3" s="120"/>
      <c r="P3" s="120"/>
      <c r="Q3" s="120"/>
      <c r="R3" s="121" t="s">
        <v>87</v>
      </c>
      <c r="S3" s="120" t="s">
        <v>12</v>
      </c>
      <c r="T3" s="120"/>
      <c r="U3" s="120"/>
      <c r="V3" s="120"/>
      <c r="W3" s="120"/>
      <c r="X3" s="120"/>
      <c r="Y3" s="120"/>
      <c r="Z3" s="120"/>
      <c r="AA3" s="120"/>
      <c r="AB3" s="120"/>
      <c r="AC3" s="120"/>
      <c r="AD3" s="120"/>
    </row>
    <row r="4" spans="1:30" ht="15.6" x14ac:dyDescent="0.3">
      <c r="A4" s="120"/>
      <c r="B4" s="120"/>
      <c r="C4" s="120"/>
      <c r="D4" s="120"/>
      <c r="E4" s="120"/>
      <c r="F4" s="120" t="s">
        <v>6</v>
      </c>
      <c r="G4" s="120"/>
      <c r="H4" s="120"/>
      <c r="I4" s="120" t="s">
        <v>10</v>
      </c>
      <c r="J4" s="120"/>
      <c r="K4" s="120"/>
      <c r="L4" s="120" t="s">
        <v>269</v>
      </c>
      <c r="M4" s="120"/>
      <c r="N4" s="120"/>
      <c r="O4" s="120" t="s">
        <v>11</v>
      </c>
      <c r="P4" s="120"/>
      <c r="Q4" s="120"/>
      <c r="R4" s="122"/>
      <c r="S4" s="120" t="s">
        <v>6</v>
      </c>
      <c r="T4" s="120"/>
      <c r="U4" s="120"/>
      <c r="V4" s="120" t="s">
        <v>10</v>
      </c>
      <c r="W4" s="120"/>
      <c r="X4" s="120"/>
      <c r="Y4" s="120" t="s">
        <v>269</v>
      </c>
      <c r="Z4" s="120"/>
      <c r="AA4" s="120"/>
      <c r="AB4" s="120" t="s">
        <v>11</v>
      </c>
      <c r="AC4" s="120"/>
      <c r="AD4" s="120"/>
    </row>
    <row r="5" spans="1:30" ht="15.6" x14ac:dyDescent="0.3">
      <c r="A5" s="120"/>
      <c r="B5" s="120"/>
      <c r="C5" s="120"/>
      <c r="D5" s="120"/>
      <c r="E5" s="120"/>
      <c r="F5" s="46" t="s">
        <v>7</v>
      </c>
      <c r="G5" s="46" t="s">
        <v>8</v>
      </c>
      <c r="H5" s="46" t="s">
        <v>9</v>
      </c>
      <c r="I5" s="46" t="s">
        <v>7</v>
      </c>
      <c r="J5" s="46" t="s">
        <v>8</v>
      </c>
      <c r="K5" s="46" t="s">
        <v>9</v>
      </c>
      <c r="L5" s="46" t="s">
        <v>7</v>
      </c>
      <c r="M5" s="46" t="s">
        <v>8</v>
      </c>
      <c r="N5" s="46" t="s">
        <v>9</v>
      </c>
      <c r="O5" s="46" t="s">
        <v>7</v>
      </c>
      <c r="P5" s="46" t="s">
        <v>8</v>
      </c>
      <c r="Q5" s="46" t="s">
        <v>9</v>
      </c>
      <c r="R5" s="123"/>
      <c r="S5" s="46" t="s">
        <v>7</v>
      </c>
      <c r="T5" s="46" t="s">
        <v>8</v>
      </c>
      <c r="U5" s="46" t="s">
        <v>9</v>
      </c>
      <c r="V5" s="46" t="s">
        <v>7</v>
      </c>
      <c r="W5" s="46" t="s">
        <v>8</v>
      </c>
      <c r="X5" s="46" t="s">
        <v>9</v>
      </c>
      <c r="Y5" s="46" t="s">
        <v>7</v>
      </c>
      <c r="Z5" s="46" t="s">
        <v>8</v>
      </c>
      <c r="AA5" s="46" t="s">
        <v>9</v>
      </c>
      <c r="AB5" s="46" t="s">
        <v>7</v>
      </c>
      <c r="AC5" s="46" t="s">
        <v>8</v>
      </c>
      <c r="AD5" s="46" t="s">
        <v>9</v>
      </c>
    </row>
    <row r="6" spans="1:30" x14ac:dyDescent="0.3">
      <c r="A6" s="47" t="s">
        <v>115</v>
      </c>
      <c r="B6" s="48" t="s">
        <v>145</v>
      </c>
      <c r="C6" s="48" t="s">
        <v>63</v>
      </c>
      <c r="D6" s="51">
        <v>838090562</v>
      </c>
      <c r="E6" s="7" t="s">
        <v>243</v>
      </c>
      <c r="F6" s="51">
        <v>1</v>
      </c>
      <c r="G6" s="49" t="str">
        <f t="shared" ref="G6:G35" si="0">IF(F6&gt;=40,"Distinction",IF(F6&gt;=30,"Merit",IF(F6&gt;=10,"Pass",IF(F6&gt;=0,"No Grade"))))</f>
        <v>No Grade</v>
      </c>
      <c r="H6" s="3">
        <f t="shared" ref="H6:H35" si="1">F6/50</f>
        <v>0.02</v>
      </c>
      <c r="I6" s="51">
        <v>13</v>
      </c>
      <c r="J6" s="49" t="str">
        <f t="shared" ref="J6:J35" si="2">IF(I6&gt;=40,"Distinction",IF(I6&gt;=30,"Merit",IF(I6&gt;=10,"Pass",IF(I6&gt;=0,"No Grade"))))</f>
        <v>Pass</v>
      </c>
      <c r="K6" s="3">
        <f t="shared" ref="K6:K35" si="3">I6/50</f>
        <v>0.26</v>
      </c>
      <c r="L6" s="51">
        <v>12</v>
      </c>
      <c r="M6" s="49" t="str">
        <f t="shared" ref="M6:M35" si="4">IF(L6&gt;=40,"Distinction",IF(L6&gt;=30,"Merit",IF(L6&gt;=10,"Pass",IF(L6&gt;=0,"No Grade"))))</f>
        <v>Pass</v>
      </c>
      <c r="N6" s="3">
        <f t="shared" ref="N6:N35" si="5">L6/50</f>
        <v>0.24</v>
      </c>
      <c r="O6" s="51">
        <v>26</v>
      </c>
      <c r="P6" s="49" t="str">
        <f t="shared" ref="P6:P35" si="6">IF(O6&gt;=40,"Distinction",IF(O6&gt;=30,"Merit",IF(O6&gt;=10,"Pass",IF(O6&gt;=0,"No Grade"))))</f>
        <v>Pass</v>
      </c>
      <c r="Q6" s="3">
        <f t="shared" ref="Q6:Q35" si="7">O6/50</f>
        <v>0.52</v>
      </c>
      <c r="R6" s="55">
        <f t="shared" ref="R6:R35" si="8">SUM(F6,I6,L6,O6)</f>
        <v>52</v>
      </c>
      <c r="S6" s="54">
        <v>41</v>
      </c>
      <c r="T6" s="49" t="str">
        <f t="shared" ref="T6:T35" si="9">IF(S6&gt;=40,"Distinction",IF(S6&gt;=30,"Merit",IF(S6&gt;=10,"Pass",IF(S6&gt;=0,"No Grade"))))</f>
        <v>Distinction</v>
      </c>
      <c r="U6" s="4">
        <f t="shared" ref="U6:U35" si="10">S6/50</f>
        <v>0.82</v>
      </c>
      <c r="V6" s="54">
        <v>23</v>
      </c>
      <c r="W6" s="49" t="str">
        <f t="shared" ref="W6:W35" si="11">IF(V6&gt;=40,"Distinction",IF(V6&gt;=30,"Merit",IF(V6&gt;=10,"Pass",IF(V6&gt;=0,"No Grade"))))</f>
        <v>Pass</v>
      </c>
      <c r="X6" s="4">
        <f t="shared" ref="X6:X35" si="12">V6/50</f>
        <v>0.46</v>
      </c>
      <c r="Y6" s="54">
        <v>30</v>
      </c>
      <c r="Z6" s="49" t="str">
        <f t="shared" ref="Z6:Z35" si="13">IF(Y6&gt;=40,"Distinction",IF(Y6&gt;=30,"Merit",IF(Y6&gt;=10,"Pass",IF(Y6&gt;=0,"No Grade"))))</f>
        <v>Merit</v>
      </c>
      <c r="AA6" s="4">
        <f t="shared" ref="AA6:AA35" si="14">Y6/50</f>
        <v>0.6</v>
      </c>
      <c r="AB6" s="54">
        <v>12</v>
      </c>
      <c r="AC6" s="49" t="str">
        <f t="shared" ref="AC6:AC35" si="15">IF(AB6&gt;=40,"Distinction",IF(AB6&gt;=30,"Merit",IF(AB6&gt;=10,"Pass",IF(AB6&gt;=0,"No Grade"))))</f>
        <v>Pass</v>
      </c>
      <c r="AD6" s="4">
        <f t="shared" ref="AD6:AD35" si="16">AB6/50</f>
        <v>0.24</v>
      </c>
    </row>
    <row r="7" spans="1:30" x14ac:dyDescent="0.3">
      <c r="A7" s="47" t="s">
        <v>117</v>
      </c>
      <c r="B7" s="48" t="s">
        <v>147</v>
      </c>
      <c r="C7" s="48" t="s">
        <v>64</v>
      </c>
      <c r="D7" s="51">
        <v>9919697059</v>
      </c>
      <c r="E7" s="7" t="s">
        <v>244</v>
      </c>
      <c r="F7" s="51">
        <v>27</v>
      </c>
      <c r="G7" s="49" t="str">
        <f t="shared" si="0"/>
        <v>Pass</v>
      </c>
      <c r="H7" s="3">
        <f t="shared" si="1"/>
        <v>0.54</v>
      </c>
      <c r="I7" s="51">
        <v>22</v>
      </c>
      <c r="J7" s="49" t="str">
        <f t="shared" si="2"/>
        <v>Pass</v>
      </c>
      <c r="K7" s="3">
        <f t="shared" si="3"/>
        <v>0.44</v>
      </c>
      <c r="L7" s="51">
        <v>49</v>
      </c>
      <c r="M7" s="49" t="str">
        <f t="shared" si="4"/>
        <v>Distinction</v>
      </c>
      <c r="N7" s="3">
        <f t="shared" si="5"/>
        <v>0.98</v>
      </c>
      <c r="O7" s="51">
        <v>24</v>
      </c>
      <c r="P7" s="49" t="str">
        <f t="shared" si="6"/>
        <v>Pass</v>
      </c>
      <c r="Q7" s="3">
        <f t="shared" si="7"/>
        <v>0.48</v>
      </c>
      <c r="R7" s="55">
        <f t="shared" si="8"/>
        <v>122</v>
      </c>
      <c r="S7" s="54">
        <v>3</v>
      </c>
      <c r="T7" s="49" t="str">
        <f t="shared" si="9"/>
        <v>No Grade</v>
      </c>
      <c r="U7" s="4">
        <f t="shared" si="10"/>
        <v>0.06</v>
      </c>
      <c r="V7" s="54">
        <v>13</v>
      </c>
      <c r="W7" s="49" t="str">
        <f t="shared" si="11"/>
        <v>Pass</v>
      </c>
      <c r="X7" s="4">
        <f t="shared" si="12"/>
        <v>0.26</v>
      </c>
      <c r="Y7" s="54">
        <v>13</v>
      </c>
      <c r="Z7" s="49" t="str">
        <f t="shared" si="13"/>
        <v>Pass</v>
      </c>
      <c r="AA7" s="4">
        <f t="shared" si="14"/>
        <v>0.26</v>
      </c>
      <c r="AB7" s="54">
        <v>4</v>
      </c>
      <c r="AC7" s="49" t="str">
        <f t="shared" si="15"/>
        <v>No Grade</v>
      </c>
      <c r="AD7" s="4">
        <f t="shared" si="16"/>
        <v>0.08</v>
      </c>
    </row>
    <row r="8" spans="1:30" x14ac:dyDescent="0.3">
      <c r="A8" s="50" t="s">
        <v>92</v>
      </c>
      <c r="B8" s="49" t="s">
        <v>122</v>
      </c>
      <c r="C8" s="49" t="s">
        <v>63</v>
      </c>
      <c r="D8" s="52">
        <v>5940211603</v>
      </c>
      <c r="E8" s="6">
        <v>37567</v>
      </c>
      <c r="F8" s="52">
        <v>10</v>
      </c>
      <c r="G8" s="49" t="str">
        <f t="shared" si="0"/>
        <v>Pass</v>
      </c>
      <c r="H8" s="1">
        <f t="shared" si="1"/>
        <v>0.2</v>
      </c>
      <c r="I8" s="52">
        <v>15</v>
      </c>
      <c r="J8" s="49" t="str">
        <f t="shared" si="2"/>
        <v>Pass</v>
      </c>
      <c r="K8" s="1">
        <f t="shared" si="3"/>
        <v>0.3</v>
      </c>
      <c r="L8" s="52">
        <v>26</v>
      </c>
      <c r="M8" s="49" t="str">
        <f t="shared" si="4"/>
        <v>Pass</v>
      </c>
      <c r="N8" s="1">
        <f t="shared" si="5"/>
        <v>0.52</v>
      </c>
      <c r="O8" s="52">
        <v>40</v>
      </c>
      <c r="P8" s="49" t="str">
        <f t="shared" si="6"/>
        <v>Distinction</v>
      </c>
      <c r="Q8" s="1">
        <f t="shared" si="7"/>
        <v>0.8</v>
      </c>
      <c r="R8" s="55">
        <f t="shared" si="8"/>
        <v>91</v>
      </c>
      <c r="S8" s="52">
        <v>16</v>
      </c>
      <c r="T8" s="49" t="str">
        <f t="shared" si="9"/>
        <v>Pass</v>
      </c>
      <c r="U8" s="1">
        <f t="shared" si="10"/>
        <v>0.32</v>
      </c>
      <c r="V8" s="52">
        <v>9</v>
      </c>
      <c r="W8" s="49" t="str">
        <f t="shared" si="11"/>
        <v>No Grade</v>
      </c>
      <c r="X8" s="1">
        <f t="shared" si="12"/>
        <v>0.18</v>
      </c>
      <c r="Y8" s="52">
        <v>44</v>
      </c>
      <c r="Z8" s="49" t="str">
        <f t="shared" si="13"/>
        <v>Distinction</v>
      </c>
      <c r="AA8" s="1">
        <f t="shared" si="14"/>
        <v>0.88</v>
      </c>
      <c r="AB8" s="52">
        <v>0</v>
      </c>
      <c r="AC8" s="49" t="str">
        <f t="shared" si="15"/>
        <v>No Grade</v>
      </c>
      <c r="AD8" s="1">
        <f t="shared" si="16"/>
        <v>0</v>
      </c>
    </row>
    <row r="9" spans="1:30" x14ac:dyDescent="0.3">
      <c r="A9" s="50" t="s">
        <v>100</v>
      </c>
      <c r="B9" s="49" t="s">
        <v>130</v>
      </c>
      <c r="C9" s="49" t="s">
        <v>63</v>
      </c>
      <c r="D9" s="52">
        <v>125882334</v>
      </c>
      <c r="E9" s="6" t="s">
        <v>234</v>
      </c>
      <c r="F9" s="52">
        <v>15</v>
      </c>
      <c r="G9" s="49" t="str">
        <f t="shared" si="0"/>
        <v>Pass</v>
      </c>
      <c r="H9" s="1">
        <f t="shared" si="1"/>
        <v>0.3</v>
      </c>
      <c r="I9" s="52">
        <v>16</v>
      </c>
      <c r="J9" s="49" t="str">
        <f t="shared" si="2"/>
        <v>Pass</v>
      </c>
      <c r="K9" s="1">
        <f t="shared" si="3"/>
        <v>0.32</v>
      </c>
      <c r="L9" s="52">
        <v>30</v>
      </c>
      <c r="M9" s="49" t="str">
        <f t="shared" si="4"/>
        <v>Merit</v>
      </c>
      <c r="N9" s="1">
        <f t="shared" si="5"/>
        <v>0.6</v>
      </c>
      <c r="O9" s="52">
        <v>40</v>
      </c>
      <c r="P9" s="49" t="str">
        <f t="shared" si="6"/>
        <v>Distinction</v>
      </c>
      <c r="Q9" s="1">
        <f t="shared" si="7"/>
        <v>0.8</v>
      </c>
      <c r="R9" s="55">
        <f t="shared" si="8"/>
        <v>101</v>
      </c>
      <c r="S9" s="52">
        <v>4</v>
      </c>
      <c r="T9" s="49" t="str">
        <f t="shared" si="9"/>
        <v>No Grade</v>
      </c>
      <c r="U9" s="1">
        <f t="shared" si="10"/>
        <v>0.08</v>
      </c>
      <c r="V9" s="52">
        <v>32</v>
      </c>
      <c r="W9" s="49" t="str">
        <f t="shared" si="11"/>
        <v>Merit</v>
      </c>
      <c r="X9" s="1">
        <f t="shared" si="12"/>
        <v>0.64</v>
      </c>
      <c r="Y9" s="52">
        <v>47</v>
      </c>
      <c r="Z9" s="49" t="str">
        <f t="shared" si="13"/>
        <v>Distinction</v>
      </c>
      <c r="AA9" s="1">
        <f t="shared" si="14"/>
        <v>0.94</v>
      </c>
      <c r="AB9" s="52">
        <v>4</v>
      </c>
      <c r="AC9" s="49" t="str">
        <f t="shared" si="15"/>
        <v>No Grade</v>
      </c>
      <c r="AD9" s="1">
        <f t="shared" si="16"/>
        <v>0.08</v>
      </c>
    </row>
    <row r="10" spans="1:30" x14ac:dyDescent="0.3">
      <c r="A10" s="47" t="s">
        <v>119</v>
      </c>
      <c r="B10" s="48" t="s">
        <v>149</v>
      </c>
      <c r="C10" s="48" t="s">
        <v>64</v>
      </c>
      <c r="D10" s="51">
        <v>8574011090</v>
      </c>
      <c r="E10" s="7" t="s">
        <v>246</v>
      </c>
      <c r="F10" s="51">
        <v>38</v>
      </c>
      <c r="G10" s="49" t="str">
        <f t="shared" si="0"/>
        <v>Merit</v>
      </c>
      <c r="H10" s="3">
        <f t="shared" si="1"/>
        <v>0.76</v>
      </c>
      <c r="I10" s="51">
        <v>47</v>
      </c>
      <c r="J10" s="49" t="str">
        <f t="shared" si="2"/>
        <v>Distinction</v>
      </c>
      <c r="K10" s="3">
        <f t="shared" si="3"/>
        <v>0.94</v>
      </c>
      <c r="L10" s="51">
        <v>4</v>
      </c>
      <c r="M10" s="49" t="str">
        <f t="shared" si="4"/>
        <v>No Grade</v>
      </c>
      <c r="N10" s="3">
        <f t="shared" si="5"/>
        <v>0.08</v>
      </c>
      <c r="O10" s="51">
        <v>34</v>
      </c>
      <c r="P10" s="49" t="str">
        <f t="shared" si="6"/>
        <v>Merit</v>
      </c>
      <c r="Q10" s="3">
        <f t="shared" si="7"/>
        <v>0.68</v>
      </c>
      <c r="R10" s="55">
        <f t="shared" si="8"/>
        <v>123</v>
      </c>
      <c r="S10" s="54">
        <v>42</v>
      </c>
      <c r="T10" s="49" t="str">
        <f t="shared" si="9"/>
        <v>Distinction</v>
      </c>
      <c r="U10" s="4">
        <f t="shared" si="10"/>
        <v>0.84</v>
      </c>
      <c r="V10" s="54">
        <v>20</v>
      </c>
      <c r="W10" s="49" t="str">
        <f t="shared" si="11"/>
        <v>Pass</v>
      </c>
      <c r="X10" s="4">
        <f t="shared" si="12"/>
        <v>0.4</v>
      </c>
      <c r="Y10" s="54">
        <v>37</v>
      </c>
      <c r="Z10" s="49" t="str">
        <f t="shared" si="13"/>
        <v>Merit</v>
      </c>
      <c r="AA10" s="4">
        <f t="shared" si="14"/>
        <v>0.74</v>
      </c>
      <c r="AB10" s="54">
        <v>31</v>
      </c>
      <c r="AC10" s="49" t="str">
        <f t="shared" si="15"/>
        <v>Merit</v>
      </c>
      <c r="AD10" s="4">
        <f t="shared" si="16"/>
        <v>0.62</v>
      </c>
    </row>
    <row r="11" spans="1:30" x14ac:dyDescent="0.3">
      <c r="A11" s="47" t="s">
        <v>97</v>
      </c>
      <c r="B11" s="48" t="s">
        <v>127</v>
      </c>
      <c r="C11" s="48" t="s">
        <v>64</v>
      </c>
      <c r="D11" s="51">
        <v>9059436974</v>
      </c>
      <c r="E11" s="7" t="s">
        <v>231</v>
      </c>
      <c r="F11" s="51">
        <v>21</v>
      </c>
      <c r="G11" s="49" t="str">
        <f t="shared" si="0"/>
        <v>Pass</v>
      </c>
      <c r="H11" s="3">
        <f t="shared" si="1"/>
        <v>0.42</v>
      </c>
      <c r="I11" s="51">
        <v>4</v>
      </c>
      <c r="J11" s="49" t="str">
        <f t="shared" si="2"/>
        <v>No Grade</v>
      </c>
      <c r="K11" s="3">
        <f t="shared" si="3"/>
        <v>0.08</v>
      </c>
      <c r="L11" s="51">
        <v>26</v>
      </c>
      <c r="M11" s="49" t="str">
        <f t="shared" si="4"/>
        <v>Pass</v>
      </c>
      <c r="N11" s="3">
        <f t="shared" si="5"/>
        <v>0.52</v>
      </c>
      <c r="O11" s="51">
        <v>24</v>
      </c>
      <c r="P11" s="49" t="str">
        <f t="shared" si="6"/>
        <v>Pass</v>
      </c>
      <c r="Q11" s="3">
        <f t="shared" si="7"/>
        <v>0.48</v>
      </c>
      <c r="R11" s="55">
        <f t="shared" si="8"/>
        <v>75</v>
      </c>
      <c r="S11" s="54">
        <v>39</v>
      </c>
      <c r="T11" s="49" t="str">
        <f t="shared" si="9"/>
        <v>Merit</v>
      </c>
      <c r="U11" s="4">
        <f t="shared" si="10"/>
        <v>0.78</v>
      </c>
      <c r="V11" s="54">
        <v>41</v>
      </c>
      <c r="W11" s="49" t="str">
        <f t="shared" si="11"/>
        <v>Distinction</v>
      </c>
      <c r="X11" s="4">
        <f t="shared" si="12"/>
        <v>0.82</v>
      </c>
      <c r="Y11" s="54">
        <v>26</v>
      </c>
      <c r="Z11" s="49" t="str">
        <f t="shared" si="13"/>
        <v>Pass</v>
      </c>
      <c r="AA11" s="4">
        <f t="shared" si="14"/>
        <v>0.52</v>
      </c>
      <c r="AB11" s="54">
        <v>50</v>
      </c>
      <c r="AC11" s="49" t="str">
        <f t="shared" si="15"/>
        <v>Distinction</v>
      </c>
      <c r="AD11" s="4">
        <f t="shared" si="16"/>
        <v>1</v>
      </c>
    </row>
    <row r="12" spans="1:30" x14ac:dyDescent="0.3">
      <c r="A12" s="47" t="s">
        <v>105</v>
      </c>
      <c r="B12" s="48" t="s">
        <v>135</v>
      </c>
      <c r="C12" s="48" t="s">
        <v>64</v>
      </c>
      <c r="D12" s="51">
        <v>5878901492</v>
      </c>
      <c r="E12" s="7" t="s">
        <v>235</v>
      </c>
      <c r="F12" s="51">
        <v>9</v>
      </c>
      <c r="G12" s="49" t="str">
        <f t="shared" si="0"/>
        <v>No Grade</v>
      </c>
      <c r="H12" s="3">
        <f t="shared" si="1"/>
        <v>0.18</v>
      </c>
      <c r="I12" s="51">
        <v>5</v>
      </c>
      <c r="J12" s="49" t="str">
        <f t="shared" si="2"/>
        <v>No Grade</v>
      </c>
      <c r="K12" s="3">
        <f t="shared" si="3"/>
        <v>0.1</v>
      </c>
      <c r="L12" s="51">
        <v>5</v>
      </c>
      <c r="M12" s="49" t="str">
        <f t="shared" si="4"/>
        <v>No Grade</v>
      </c>
      <c r="N12" s="3">
        <f t="shared" si="5"/>
        <v>0.1</v>
      </c>
      <c r="O12" s="51">
        <v>1</v>
      </c>
      <c r="P12" s="49" t="str">
        <f t="shared" si="6"/>
        <v>No Grade</v>
      </c>
      <c r="Q12" s="3">
        <f t="shared" si="7"/>
        <v>0.02</v>
      </c>
      <c r="R12" s="55">
        <f t="shared" si="8"/>
        <v>20</v>
      </c>
      <c r="S12" s="54">
        <v>40</v>
      </c>
      <c r="T12" s="49" t="str">
        <f t="shared" si="9"/>
        <v>Distinction</v>
      </c>
      <c r="U12" s="4">
        <f t="shared" si="10"/>
        <v>0.8</v>
      </c>
      <c r="V12" s="54">
        <v>30</v>
      </c>
      <c r="W12" s="49" t="str">
        <f t="shared" si="11"/>
        <v>Merit</v>
      </c>
      <c r="X12" s="4">
        <f t="shared" si="12"/>
        <v>0.6</v>
      </c>
      <c r="Y12" s="54">
        <v>4</v>
      </c>
      <c r="Z12" s="49" t="str">
        <f t="shared" si="13"/>
        <v>No Grade</v>
      </c>
      <c r="AA12" s="4">
        <f t="shared" si="14"/>
        <v>0.08</v>
      </c>
      <c r="AB12" s="54">
        <v>8</v>
      </c>
      <c r="AC12" s="49" t="str">
        <f t="shared" si="15"/>
        <v>No Grade</v>
      </c>
      <c r="AD12" s="4">
        <f t="shared" si="16"/>
        <v>0.16</v>
      </c>
    </row>
    <row r="13" spans="1:30" x14ac:dyDescent="0.3">
      <c r="A13" s="47" t="s">
        <v>109</v>
      </c>
      <c r="B13" s="48" t="s">
        <v>139</v>
      </c>
      <c r="C13" s="48" t="s">
        <v>63</v>
      </c>
      <c r="D13" s="51">
        <v>9743809875</v>
      </c>
      <c r="E13" s="7" t="s">
        <v>237</v>
      </c>
      <c r="F13" s="51">
        <v>28</v>
      </c>
      <c r="G13" s="49" t="str">
        <f t="shared" si="0"/>
        <v>Pass</v>
      </c>
      <c r="H13" s="3">
        <f t="shared" si="1"/>
        <v>0.56000000000000005</v>
      </c>
      <c r="I13" s="51">
        <v>19</v>
      </c>
      <c r="J13" s="49" t="str">
        <f t="shared" si="2"/>
        <v>Pass</v>
      </c>
      <c r="K13" s="3">
        <f t="shared" si="3"/>
        <v>0.38</v>
      </c>
      <c r="L13" s="51">
        <v>44</v>
      </c>
      <c r="M13" s="49" t="str">
        <f t="shared" si="4"/>
        <v>Distinction</v>
      </c>
      <c r="N13" s="3">
        <f t="shared" si="5"/>
        <v>0.88</v>
      </c>
      <c r="O13" s="51">
        <v>20</v>
      </c>
      <c r="P13" s="49" t="str">
        <f t="shared" si="6"/>
        <v>Pass</v>
      </c>
      <c r="Q13" s="3">
        <f t="shared" si="7"/>
        <v>0.4</v>
      </c>
      <c r="R13" s="55">
        <f t="shared" si="8"/>
        <v>111</v>
      </c>
      <c r="S13" s="54">
        <v>8</v>
      </c>
      <c r="T13" s="49" t="str">
        <f t="shared" si="9"/>
        <v>No Grade</v>
      </c>
      <c r="U13" s="4">
        <f t="shared" si="10"/>
        <v>0.16</v>
      </c>
      <c r="V13" s="54">
        <v>48</v>
      </c>
      <c r="W13" s="49" t="str">
        <f t="shared" si="11"/>
        <v>Distinction</v>
      </c>
      <c r="X13" s="4">
        <f t="shared" si="12"/>
        <v>0.96</v>
      </c>
      <c r="Y13" s="54">
        <v>27</v>
      </c>
      <c r="Z13" s="49" t="str">
        <f t="shared" si="13"/>
        <v>Pass</v>
      </c>
      <c r="AA13" s="4">
        <f t="shared" si="14"/>
        <v>0.54</v>
      </c>
      <c r="AB13" s="54">
        <v>47</v>
      </c>
      <c r="AC13" s="49" t="str">
        <f t="shared" si="15"/>
        <v>Distinction</v>
      </c>
      <c r="AD13" s="4">
        <f t="shared" si="16"/>
        <v>0.94</v>
      </c>
    </row>
    <row r="14" spans="1:30" x14ac:dyDescent="0.3">
      <c r="A14" s="50" t="s">
        <v>98</v>
      </c>
      <c r="B14" s="49" t="s">
        <v>128</v>
      </c>
      <c r="C14" s="49" t="s">
        <v>63</v>
      </c>
      <c r="D14" s="52">
        <v>1286379283</v>
      </c>
      <c r="E14" s="6" t="s">
        <v>232</v>
      </c>
      <c r="F14" s="52">
        <v>45</v>
      </c>
      <c r="G14" s="49" t="str">
        <f t="shared" si="0"/>
        <v>Distinction</v>
      </c>
      <c r="H14" s="1">
        <f t="shared" si="1"/>
        <v>0.9</v>
      </c>
      <c r="I14" s="52">
        <v>16</v>
      </c>
      <c r="J14" s="49" t="str">
        <f t="shared" si="2"/>
        <v>Pass</v>
      </c>
      <c r="K14" s="1">
        <f t="shared" si="3"/>
        <v>0.32</v>
      </c>
      <c r="L14" s="52">
        <v>47</v>
      </c>
      <c r="M14" s="49" t="str">
        <f t="shared" si="4"/>
        <v>Distinction</v>
      </c>
      <c r="N14" s="1">
        <f t="shared" si="5"/>
        <v>0.94</v>
      </c>
      <c r="O14" s="52">
        <v>13</v>
      </c>
      <c r="P14" s="49" t="str">
        <f t="shared" si="6"/>
        <v>Pass</v>
      </c>
      <c r="Q14" s="1">
        <f t="shared" si="7"/>
        <v>0.26</v>
      </c>
      <c r="R14" s="55">
        <f t="shared" si="8"/>
        <v>121</v>
      </c>
      <c r="S14" s="52">
        <v>1</v>
      </c>
      <c r="T14" s="49" t="str">
        <f t="shared" si="9"/>
        <v>No Grade</v>
      </c>
      <c r="U14" s="1">
        <f t="shared" si="10"/>
        <v>0.02</v>
      </c>
      <c r="V14" s="52">
        <v>10</v>
      </c>
      <c r="W14" s="49" t="str">
        <f t="shared" si="11"/>
        <v>Pass</v>
      </c>
      <c r="X14" s="1">
        <f t="shared" si="12"/>
        <v>0.2</v>
      </c>
      <c r="Y14" s="52">
        <v>50</v>
      </c>
      <c r="Z14" s="49" t="str">
        <f t="shared" si="13"/>
        <v>Distinction</v>
      </c>
      <c r="AA14" s="1">
        <f t="shared" si="14"/>
        <v>1</v>
      </c>
      <c r="AB14" s="52">
        <v>4</v>
      </c>
      <c r="AC14" s="49" t="str">
        <f t="shared" si="15"/>
        <v>No Grade</v>
      </c>
      <c r="AD14" s="1">
        <f t="shared" si="16"/>
        <v>0.08</v>
      </c>
    </row>
    <row r="15" spans="1:30" x14ac:dyDescent="0.3">
      <c r="A15" s="50" t="s">
        <v>94</v>
      </c>
      <c r="B15" s="49" t="s">
        <v>124</v>
      </c>
      <c r="C15" s="49" t="s">
        <v>63</v>
      </c>
      <c r="D15" s="52">
        <v>2692933190</v>
      </c>
      <c r="E15" s="6" t="s">
        <v>229</v>
      </c>
      <c r="F15" s="52">
        <v>18</v>
      </c>
      <c r="G15" s="49" t="str">
        <f t="shared" si="0"/>
        <v>Pass</v>
      </c>
      <c r="H15" s="1">
        <f t="shared" si="1"/>
        <v>0.36</v>
      </c>
      <c r="I15" s="52">
        <v>46</v>
      </c>
      <c r="J15" s="49" t="str">
        <f t="shared" si="2"/>
        <v>Distinction</v>
      </c>
      <c r="K15" s="1">
        <f t="shared" si="3"/>
        <v>0.92</v>
      </c>
      <c r="L15" s="52">
        <v>42</v>
      </c>
      <c r="M15" s="49" t="str">
        <f t="shared" si="4"/>
        <v>Distinction</v>
      </c>
      <c r="N15" s="1">
        <f t="shared" si="5"/>
        <v>0.84</v>
      </c>
      <c r="O15" s="52">
        <v>23</v>
      </c>
      <c r="P15" s="49" t="str">
        <f t="shared" si="6"/>
        <v>Pass</v>
      </c>
      <c r="Q15" s="1">
        <f t="shared" si="7"/>
        <v>0.46</v>
      </c>
      <c r="R15" s="55">
        <f t="shared" si="8"/>
        <v>129</v>
      </c>
      <c r="S15" s="52">
        <v>45</v>
      </c>
      <c r="T15" s="49" t="str">
        <f t="shared" si="9"/>
        <v>Distinction</v>
      </c>
      <c r="U15" s="1">
        <f t="shared" si="10"/>
        <v>0.9</v>
      </c>
      <c r="V15" s="52">
        <v>16</v>
      </c>
      <c r="W15" s="49" t="str">
        <f t="shared" si="11"/>
        <v>Pass</v>
      </c>
      <c r="X15" s="1">
        <f t="shared" si="12"/>
        <v>0.32</v>
      </c>
      <c r="Y15" s="52">
        <v>2</v>
      </c>
      <c r="Z15" s="49" t="str">
        <f t="shared" si="13"/>
        <v>No Grade</v>
      </c>
      <c r="AA15" s="1">
        <f t="shared" si="14"/>
        <v>0.04</v>
      </c>
      <c r="AB15" s="52">
        <v>10</v>
      </c>
      <c r="AC15" s="49" t="str">
        <f t="shared" si="15"/>
        <v>Pass</v>
      </c>
      <c r="AD15" s="1">
        <f t="shared" si="16"/>
        <v>0.2</v>
      </c>
    </row>
    <row r="16" spans="1:30" x14ac:dyDescent="0.3">
      <c r="A16" s="47" t="s">
        <v>103</v>
      </c>
      <c r="B16" s="48" t="s">
        <v>133</v>
      </c>
      <c r="C16" s="48" t="s">
        <v>63</v>
      </c>
      <c r="D16" s="51">
        <v>2211553592</v>
      </c>
      <c r="E16" s="7">
        <v>37347</v>
      </c>
      <c r="F16" s="51">
        <v>5</v>
      </c>
      <c r="G16" s="49" t="str">
        <f t="shared" si="0"/>
        <v>No Grade</v>
      </c>
      <c r="H16" s="3">
        <f t="shared" si="1"/>
        <v>0.1</v>
      </c>
      <c r="I16" s="51">
        <v>50</v>
      </c>
      <c r="J16" s="49" t="str">
        <f t="shared" si="2"/>
        <v>Distinction</v>
      </c>
      <c r="K16" s="3">
        <f t="shared" si="3"/>
        <v>1</v>
      </c>
      <c r="L16" s="51">
        <v>4</v>
      </c>
      <c r="M16" s="49" t="str">
        <f t="shared" si="4"/>
        <v>No Grade</v>
      </c>
      <c r="N16" s="3">
        <f t="shared" si="5"/>
        <v>0.08</v>
      </c>
      <c r="O16" s="51">
        <v>42</v>
      </c>
      <c r="P16" s="49" t="str">
        <f t="shared" si="6"/>
        <v>Distinction</v>
      </c>
      <c r="Q16" s="3">
        <f t="shared" si="7"/>
        <v>0.84</v>
      </c>
      <c r="R16" s="55">
        <f t="shared" si="8"/>
        <v>101</v>
      </c>
      <c r="S16" s="54">
        <v>32</v>
      </c>
      <c r="T16" s="49" t="str">
        <f t="shared" si="9"/>
        <v>Merit</v>
      </c>
      <c r="U16" s="4">
        <f t="shared" si="10"/>
        <v>0.64</v>
      </c>
      <c r="V16" s="54">
        <v>33</v>
      </c>
      <c r="W16" s="49" t="str">
        <f t="shared" si="11"/>
        <v>Merit</v>
      </c>
      <c r="X16" s="4">
        <f t="shared" si="12"/>
        <v>0.66</v>
      </c>
      <c r="Y16" s="54">
        <v>49</v>
      </c>
      <c r="Z16" s="49" t="str">
        <f t="shared" si="13"/>
        <v>Distinction</v>
      </c>
      <c r="AA16" s="4">
        <f t="shared" si="14"/>
        <v>0.98</v>
      </c>
      <c r="AB16" s="54">
        <v>18</v>
      </c>
      <c r="AC16" s="49" t="str">
        <f t="shared" si="15"/>
        <v>Pass</v>
      </c>
      <c r="AD16" s="4">
        <f t="shared" si="16"/>
        <v>0.36</v>
      </c>
    </row>
    <row r="17" spans="1:30" x14ac:dyDescent="0.3">
      <c r="A17" s="47" t="s">
        <v>91</v>
      </c>
      <c r="B17" s="48" t="s">
        <v>121</v>
      </c>
      <c r="C17" s="48" t="s">
        <v>63</v>
      </c>
      <c r="D17" s="53">
        <v>1615626754</v>
      </c>
      <c r="E17" s="7">
        <v>36988</v>
      </c>
      <c r="F17" s="53">
        <v>22</v>
      </c>
      <c r="G17" s="49" t="str">
        <f t="shared" si="0"/>
        <v>Pass</v>
      </c>
      <c r="H17" s="3">
        <f t="shared" si="1"/>
        <v>0.44</v>
      </c>
      <c r="I17" s="53">
        <v>6</v>
      </c>
      <c r="J17" s="49" t="str">
        <f t="shared" si="2"/>
        <v>No Grade</v>
      </c>
      <c r="K17" s="3">
        <f t="shared" si="3"/>
        <v>0.12</v>
      </c>
      <c r="L17" s="53">
        <v>32</v>
      </c>
      <c r="M17" s="49" t="str">
        <f t="shared" si="4"/>
        <v>Merit</v>
      </c>
      <c r="N17" s="3">
        <f t="shared" si="5"/>
        <v>0.64</v>
      </c>
      <c r="O17" s="53">
        <v>1</v>
      </c>
      <c r="P17" s="49" t="str">
        <f t="shared" si="6"/>
        <v>No Grade</v>
      </c>
      <c r="Q17" s="3">
        <f t="shared" si="7"/>
        <v>0.02</v>
      </c>
      <c r="R17" s="55">
        <f t="shared" si="8"/>
        <v>61</v>
      </c>
      <c r="S17" s="54">
        <v>38</v>
      </c>
      <c r="T17" s="49" t="str">
        <f t="shared" si="9"/>
        <v>Merit</v>
      </c>
      <c r="U17" s="4">
        <f t="shared" si="10"/>
        <v>0.76</v>
      </c>
      <c r="V17" s="54">
        <v>22</v>
      </c>
      <c r="W17" s="49" t="str">
        <f t="shared" si="11"/>
        <v>Pass</v>
      </c>
      <c r="X17" s="4">
        <f t="shared" si="12"/>
        <v>0.44</v>
      </c>
      <c r="Y17" s="54">
        <v>37</v>
      </c>
      <c r="Z17" s="49" t="str">
        <f t="shared" si="13"/>
        <v>Merit</v>
      </c>
      <c r="AA17" s="4">
        <f t="shared" si="14"/>
        <v>0.74</v>
      </c>
      <c r="AB17" s="54">
        <v>27</v>
      </c>
      <c r="AC17" s="49" t="str">
        <f t="shared" si="15"/>
        <v>Pass</v>
      </c>
      <c r="AD17" s="4">
        <f t="shared" si="16"/>
        <v>0.54</v>
      </c>
    </row>
    <row r="18" spans="1:30" x14ac:dyDescent="0.3">
      <c r="A18" s="47" t="s">
        <v>113</v>
      </c>
      <c r="B18" s="48" t="s">
        <v>143</v>
      </c>
      <c r="C18" s="48" t="s">
        <v>64</v>
      </c>
      <c r="D18" s="51">
        <v>6941298842</v>
      </c>
      <c r="E18" s="7" t="s">
        <v>241</v>
      </c>
      <c r="F18" s="51">
        <v>47</v>
      </c>
      <c r="G18" s="49" t="str">
        <f t="shared" si="0"/>
        <v>Distinction</v>
      </c>
      <c r="H18" s="3">
        <f t="shared" si="1"/>
        <v>0.94</v>
      </c>
      <c r="I18" s="51">
        <v>14</v>
      </c>
      <c r="J18" s="49" t="str">
        <f t="shared" si="2"/>
        <v>Pass</v>
      </c>
      <c r="K18" s="3">
        <f t="shared" si="3"/>
        <v>0.28000000000000003</v>
      </c>
      <c r="L18" s="51">
        <v>2</v>
      </c>
      <c r="M18" s="49" t="str">
        <f t="shared" si="4"/>
        <v>No Grade</v>
      </c>
      <c r="N18" s="3">
        <f t="shared" si="5"/>
        <v>0.04</v>
      </c>
      <c r="O18" s="51">
        <v>21</v>
      </c>
      <c r="P18" s="49" t="str">
        <f t="shared" si="6"/>
        <v>Pass</v>
      </c>
      <c r="Q18" s="3">
        <f t="shared" si="7"/>
        <v>0.42</v>
      </c>
      <c r="R18" s="55">
        <f t="shared" si="8"/>
        <v>84</v>
      </c>
      <c r="S18" s="54">
        <v>36</v>
      </c>
      <c r="T18" s="49" t="str">
        <f t="shared" si="9"/>
        <v>Merit</v>
      </c>
      <c r="U18" s="4">
        <f t="shared" si="10"/>
        <v>0.72</v>
      </c>
      <c r="V18" s="54">
        <v>24</v>
      </c>
      <c r="W18" s="49" t="str">
        <f t="shared" si="11"/>
        <v>Pass</v>
      </c>
      <c r="X18" s="4">
        <f t="shared" si="12"/>
        <v>0.48</v>
      </c>
      <c r="Y18" s="54">
        <v>2</v>
      </c>
      <c r="Z18" s="49" t="str">
        <f t="shared" si="13"/>
        <v>No Grade</v>
      </c>
      <c r="AA18" s="4">
        <f t="shared" si="14"/>
        <v>0.04</v>
      </c>
      <c r="AB18" s="54">
        <v>41</v>
      </c>
      <c r="AC18" s="49" t="str">
        <f t="shared" si="15"/>
        <v>Distinction</v>
      </c>
      <c r="AD18" s="4">
        <f t="shared" si="16"/>
        <v>0.82</v>
      </c>
    </row>
    <row r="19" spans="1:30" x14ac:dyDescent="0.3">
      <c r="A19" s="47" t="s">
        <v>107</v>
      </c>
      <c r="B19" s="48" t="s">
        <v>137</v>
      </c>
      <c r="C19" s="48" t="s">
        <v>64</v>
      </c>
      <c r="D19" s="51">
        <v>2972725217</v>
      </c>
      <c r="E19" s="7">
        <v>36532</v>
      </c>
      <c r="F19" s="51">
        <v>48</v>
      </c>
      <c r="G19" s="49" t="str">
        <f t="shared" si="0"/>
        <v>Distinction</v>
      </c>
      <c r="H19" s="3">
        <f t="shared" si="1"/>
        <v>0.96</v>
      </c>
      <c r="I19" s="51">
        <v>34</v>
      </c>
      <c r="J19" s="49" t="str">
        <f t="shared" si="2"/>
        <v>Merit</v>
      </c>
      <c r="K19" s="3">
        <f t="shared" si="3"/>
        <v>0.68</v>
      </c>
      <c r="L19" s="51">
        <v>20</v>
      </c>
      <c r="M19" s="49" t="str">
        <f t="shared" si="4"/>
        <v>Pass</v>
      </c>
      <c r="N19" s="3">
        <f t="shared" si="5"/>
        <v>0.4</v>
      </c>
      <c r="O19" s="51">
        <v>8</v>
      </c>
      <c r="P19" s="49" t="str">
        <f t="shared" si="6"/>
        <v>No Grade</v>
      </c>
      <c r="Q19" s="3">
        <f t="shared" si="7"/>
        <v>0.16</v>
      </c>
      <c r="R19" s="55">
        <f t="shared" si="8"/>
        <v>110</v>
      </c>
      <c r="S19" s="54">
        <v>50</v>
      </c>
      <c r="T19" s="49" t="str">
        <f t="shared" si="9"/>
        <v>Distinction</v>
      </c>
      <c r="U19" s="4">
        <f t="shared" si="10"/>
        <v>1</v>
      </c>
      <c r="V19" s="54">
        <v>15</v>
      </c>
      <c r="W19" s="49" t="str">
        <f t="shared" si="11"/>
        <v>Pass</v>
      </c>
      <c r="X19" s="4">
        <f t="shared" si="12"/>
        <v>0.3</v>
      </c>
      <c r="Y19" s="54">
        <v>30</v>
      </c>
      <c r="Z19" s="49" t="str">
        <f t="shared" si="13"/>
        <v>Merit</v>
      </c>
      <c r="AA19" s="4">
        <f t="shared" si="14"/>
        <v>0.6</v>
      </c>
      <c r="AB19" s="54">
        <v>41</v>
      </c>
      <c r="AC19" s="49" t="str">
        <f t="shared" si="15"/>
        <v>Distinction</v>
      </c>
      <c r="AD19" s="4">
        <f t="shared" si="16"/>
        <v>0.82</v>
      </c>
    </row>
    <row r="20" spans="1:30" x14ac:dyDescent="0.3">
      <c r="A20" s="47" t="s">
        <v>101</v>
      </c>
      <c r="B20" s="48" t="s">
        <v>131</v>
      </c>
      <c r="C20" s="48" t="s">
        <v>64</v>
      </c>
      <c r="D20" s="51">
        <v>6821058769</v>
      </c>
      <c r="E20" s="7">
        <v>36836</v>
      </c>
      <c r="F20" s="51">
        <v>17</v>
      </c>
      <c r="G20" s="49" t="str">
        <f t="shared" si="0"/>
        <v>Pass</v>
      </c>
      <c r="H20" s="3">
        <f t="shared" si="1"/>
        <v>0.34</v>
      </c>
      <c r="I20" s="51">
        <v>39</v>
      </c>
      <c r="J20" s="49" t="str">
        <f t="shared" si="2"/>
        <v>Merit</v>
      </c>
      <c r="K20" s="3">
        <f t="shared" si="3"/>
        <v>0.78</v>
      </c>
      <c r="L20" s="51">
        <v>20</v>
      </c>
      <c r="M20" s="49" t="str">
        <f t="shared" si="4"/>
        <v>Pass</v>
      </c>
      <c r="N20" s="3">
        <f t="shared" si="5"/>
        <v>0.4</v>
      </c>
      <c r="O20" s="51">
        <v>13</v>
      </c>
      <c r="P20" s="49" t="str">
        <f t="shared" si="6"/>
        <v>Pass</v>
      </c>
      <c r="Q20" s="3">
        <f t="shared" si="7"/>
        <v>0.26</v>
      </c>
      <c r="R20" s="55">
        <f t="shared" si="8"/>
        <v>89</v>
      </c>
      <c r="S20" s="54">
        <v>33</v>
      </c>
      <c r="T20" s="49" t="str">
        <f t="shared" si="9"/>
        <v>Merit</v>
      </c>
      <c r="U20" s="4">
        <f t="shared" si="10"/>
        <v>0.66</v>
      </c>
      <c r="V20" s="54">
        <v>16</v>
      </c>
      <c r="W20" s="49" t="str">
        <f t="shared" si="11"/>
        <v>Pass</v>
      </c>
      <c r="X20" s="4">
        <f t="shared" si="12"/>
        <v>0.32</v>
      </c>
      <c r="Y20" s="54">
        <v>19</v>
      </c>
      <c r="Z20" s="49" t="str">
        <f t="shared" si="13"/>
        <v>Pass</v>
      </c>
      <c r="AA20" s="4">
        <f t="shared" si="14"/>
        <v>0.38</v>
      </c>
      <c r="AB20" s="54">
        <v>3</v>
      </c>
      <c r="AC20" s="49" t="str">
        <f t="shared" si="15"/>
        <v>No Grade</v>
      </c>
      <c r="AD20" s="4">
        <f t="shared" si="16"/>
        <v>0.06</v>
      </c>
    </row>
    <row r="21" spans="1:30" x14ac:dyDescent="0.3">
      <c r="A21" s="50" t="s">
        <v>104</v>
      </c>
      <c r="B21" s="49" t="s">
        <v>134</v>
      </c>
      <c r="C21" s="49" t="s">
        <v>64</v>
      </c>
      <c r="D21" s="52">
        <v>6262439670</v>
      </c>
      <c r="E21" s="6">
        <v>36987</v>
      </c>
      <c r="F21" s="52">
        <v>34</v>
      </c>
      <c r="G21" s="49" t="str">
        <f t="shared" si="0"/>
        <v>Merit</v>
      </c>
      <c r="H21" s="1">
        <f t="shared" si="1"/>
        <v>0.68</v>
      </c>
      <c r="I21" s="52">
        <v>41</v>
      </c>
      <c r="J21" s="49" t="str">
        <f t="shared" si="2"/>
        <v>Distinction</v>
      </c>
      <c r="K21" s="1">
        <f t="shared" si="3"/>
        <v>0.82</v>
      </c>
      <c r="L21" s="52">
        <v>44</v>
      </c>
      <c r="M21" s="49" t="str">
        <f t="shared" si="4"/>
        <v>Distinction</v>
      </c>
      <c r="N21" s="1">
        <f t="shared" si="5"/>
        <v>0.88</v>
      </c>
      <c r="O21" s="52">
        <v>18</v>
      </c>
      <c r="P21" s="49" t="str">
        <f t="shared" si="6"/>
        <v>Pass</v>
      </c>
      <c r="Q21" s="1">
        <f t="shared" si="7"/>
        <v>0.36</v>
      </c>
      <c r="R21" s="55">
        <f t="shared" si="8"/>
        <v>137</v>
      </c>
      <c r="S21" s="52">
        <v>13</v>
      </c>
      <c r="T21" s="49" t="str">
        <f t="shared" si="9"/>
        <v>Pass</v>
      </c>
      <c r="U21" s="1">
        <f t="shared" si="10"/>
        <v>0.26</v>
      </c>
      <c r="V21" s="52">
        <v>22</v>
      </c>
      <c r="W21" s="49" t="str">
        <f t="shared" si="11"/>
        <v>Pass</v>
      </c>
      <c r="X21" s="1">
        <f t="shared" si="12"/>
        <v>0.44</v>
      </c>
      <c r="Y21" s="52">
        <v>21</v>
      </c>
      <c r="Z21" s="49" t="str">
        <f t="shared" si="13"/>
        <v>Pass</v>
      </c>
      <c r="AA21" s="1">
        <f t="shared" si="14"/>
        <v>0.42</v>
      </c>
      <c r="AB21" s="52">
        <v>12</v>
      </c>
      <c r="AC21" s="49" t="str">
        <f t="shared" si="15"/>
        <v>Pass</v>
      </c>
      <c r="AD21" s="1">
        <f t="shared" si="16"/>
        <v>0.24</v>
      </c>
    </row>
    <row r="22" spans="1:30" x14ac:dyDescent="0.3">
      <c r="A22" s="50" t="s">
        <v>106</v>
      </c>
      <c r="B22" s="49" t="s">
        <v>136</v>
      </c>
      <c r="C22" s="49" t="s">
        <v>63</v>
      </c>
      <c r="D22" s="52">
        <v>5622933639</v>
      </c>
      <c r="E22" s="6" t="s">
        <v>236</v>
      </c>
      <c r="F22" s="52">
        <v>24</v>
      </c>
      <c r="G22" s="49" t="str">
        <f t="shared" si="0"/>
        <v>Pass</v>
      </c>
      <c r="H22" s="1">
        <f t="shared" si="1"/>
        <v>0.48</v>
      </c>
      <c r="I22" s="52">
        <v>24</v>
      </c>
      <c r="J22" s="49" t="str">
        <f t="shared" si="2"/>
        <v>Pass</v>
      </c>
      <c r="K22" s="1">
        <f t="shared" si="3"/>
        <v>0.48</v>
      </c>
      <c r="L22" s="52">
        <v>41</v>
      </c>
      <c r="M22" s="49" t="str">
        <f t="shared" si="4"/>
        <v>Distinction</v>
      </c>
      <c r="N22" s="1">
        <f t="shared" si="5"/>
        <v>0.82</v>
      </c>
      <c r="O22" s="52">
        <v>25</v>
      </c>
      <c r="P22" s="49" t="str">
        <f t="shared" si="6"/>
        <v>Pass</v>
      </c>
      <c r="Q22" s="1">
        <f t="shared" si="7"/>
        <v>0.5</v>
      </c>
      <c r="R22" s="55">
        <f t="shared" si="8"/>
        <v>114</v>
      </c>
      <c r="S22" s="52">
        <v>1</v>
      </c>
      <c r="T22" s="49" t="str">
        <f t="shared" si="9"/>
        <v>No Grade</v>
      </c>
      <c r="U22" s="1">
        <f t="shared" si="10"/>
        <v>0.02</v>
      </c>
      <c r="V22" s="52">
        <v>3</v>
      </c>
      <c r="W22" s="49" t="str">
        <f t="shared" si="11"/>
        <v>No Grade</v>
      </c>
      <c r="X22" s="1">
        <f t="shared" si="12"/>
        <v>0.06</v>
      </c>
      <c r="Y22" s="52">
        <v>46</v>
      </c>
      <c r="Z22" s="49" t="str">
        <f t="shared" si="13"/>
        <v>Distinction</v>
      </c>
      <c r="AA22" s="1">
        <f t="shared" si="14"/>
        <v>0.92</v>
      </c>
      <c r="AB22" s="52">
        <v>21</v>
      </c>
      <c r="AC22" s="49" t="str">
        <f t="shared" si="15"/>
        <v>Pass</v>
      </c>
      <c r="AD22" s="1">
        <f t="shared" si="16"/>
        <v>0.42</v>
      </c>
    </row>
    <row r="23" spans="1:30" x14ac:dyDescent="0.3">
      <c r="A23" s="47" t="s">
        <v>99</v>
      </c>
      <c r="B23" s="48" t="s">
        <v>129</v>
      </c>
      <c r="C23" s="48" t="s">
        <v>63</v>
      </c>
      <c r="D23" s="51">
        <v>7305829899</v>
      </c>
      <c r="E23" s="7" t="s">
        <v>233</v>
      </c>
      <c r="F23" s="51">
        <v>12</v>
      </c>
      <c r="G23" s="49" t="str">
        <f t="shared" si="0"/>
        <v>Pass</v>
      </c>
      <c r="H23" s="3">
        <f t="shared" si="1"/>
        <v>0.24</v>
      </c>
      <c r="I23" s="51">
        <v>40</v>
      </c>
      <c r="J23" s="49" t="str">
        <f t="shared" si="2"/>
        <v>Distinction</v>
      </c>
      <c r="K23" s="3">
        <f t="shared" si="3"/>
        <v>0.8</v>
      </c>
      <c r="L23" s="51">
        <v>16</v>
      </c>
      <c r="M23" s="49" t="str">
        <f t="shared" si="4"/>
        <v>Pass</v>
      </c>
      <c r="N23" s="3">
        <f t="shared" si="5"/>
        <v>0.32</v>
      </c>
      <c r="O23" s="51">
        <v>22</v>
      </c>
      <c r="P23" s="49" t="str">
        <f t="shared" si="6"/>
        <v>Pass</v>
      </c>
      <c r="Q23" s="3">
        <f t="shared" si="7"/>
        <v>0.44</v>
      </c>
      <c r="R23" s="55">
        <f t="shared" si="8"/>
        <v>90</v>
      </c>
      <c r="S23" s="54">
        <v>38</v>
      </c>
      <c r="T23" s="49" t="str">
        <f t="shared" si="9"/>
        <v>Merit</v>
      </c>
      <c r="U23" s="4">
        <f t="shared" si="10"/>
        <v>0.76</v>
      </c>
      <c r="V23" s="54">
        <v>35</v>
      </c>
      <c r="W23" s="49" t="str">
        <f t="shared" si="11"/>
        <v>Merit</v>
      </c>
      <c r="X23" s="4">
        <f t="shared" si="12"/>
        <v>0.7</v>
      </c>
      <c r="Y23" s="54">
        <v>1</v>
      </c>
      <c r="Z23" s="49" t="str">
        <f t="shared" si="13"/>
        <v>No Grade</v>
      </c>
      <c r="AA23" s="4">
        <f t="shared" si="14"/>
        <v>0.02</v>
      </c>
      <c r="AB23" s="54">
        <v>31</v>
      </c>
      <c r="AC23" s="49" t="str">
        <f t="shared" si="15"/>
        <v>Merit</v>
      </c>
      <c r="AD23" s="4">
        <f t="shared" si="16"/>
        <v>0.62</v>
      </c>
    </row>
    <row r="24" spans="1:30" x14ac:dyDescent="0.3">
      <c r="A24" s="50" t="s">
        <v>112</v>
      </c>
      <c r="B24" s="49" t="s">
        <v>142</v>
      </c>
      <c r="C24" s="49" t="s">
        <v>64</v>
      </c>
      <c r="D24" s="52">
        <v>6052550458</v>
      </c>
      <c r="E24" s="6" t="s">
        <v>240</v>
      </c>
      <c r="F24" s="52">
        <v>50</v>
      </c>
      <c r="G24" s="49" t="str">
        <f t="shared" si="0"/>
        <v>Distinction</v>
      </c>
      <c r="H24" s="1">
        <f t="shared" si="1"/>
        <v>1</v>
      </c>
      <c r="I24" s="52">
        <v>50</v>
      </c>
      <c r="J24" s="49" t="str">
        <f t="shared" si="2"/>
        <v>Distinction</v>
      </c>
      <c r="K24" s="1">
        <f t="shared" si="3"/>
        <v>1</v>
      </c>
      <c r="L24" s="52">
        <v>50</v>
      </c>
      <c r="M24" s="49" t="str">
        <f t="shared" si="4"/>
        <v>Distinction</v>
      </c>
      <c r="N24" s="1">
        <f t="shared" si="5"/>
        <v>1</v>
      </c>
      <c r="O24" s="52">
        <v>50</v>
      </c>
      <c r="P24" s="49" t="str">
        <f t="shared" si="6"/>
        <v>Distinction</v>
      </c>
      <c r="Q24" s="1">
        <f t="shared" si="7"/>
        <v>1</v>
      </c>
      <c r="R24" s="55">
        <f t="shared" si="8"/>
        <v>200</v>
      </c>
      <c r="S24" s="52">
        <v>25</v>
      </c>
      <c r="T24" s="49" t="str">
        <f t="shared" si="9"/>
        <v>Pass</v>
      </c>
      <c r="U24" s="1">
        <f t="shared" si="10"/>
        <v>0.5</v>
      </c>
      <c r="V24" s="52">
        <v>30</v>
      </c>
      <c r="W24" s="49" t="str">
        <f t="shared" si="11"/>
        <v>Merit</v>
      </c>
      <c r="X24" s="1">
        <f t="shared" si="12"/>
        <v>0.6</v>
      </c>
      <c r="Y24" s="52">
        <v>32</v>
      </c>
      <c r="Z24" s="49" t="str">
        <f t="shared" si="13"/>
        <v>Merit</v>
      </c>
      <c r="AA24" s="1">
        <f t="shared" si="14"/>
        <v>0.64</v>
      </c>
      <c r="AB24" s="52">
        <v>43</v>
      </c>
      <c r="AC24" s="49" t="str">
        <f t="shared" si="15"/>
        <v>Distinction</v>
      </c>
      <c r="AD24" s="1">
        <f t="shared" si="16"/>
        <v>0.86</v>
      </c>
    </row>
    <row r="25" spans="1:30" x14ac:dyDescent="0.3">
      <c r="A25" s="50" t="s">
        <v>102</v>
      </c>
      <c r="B25" s="49" t="s">
        <v>132</v>
      </c>
      <c r="C25" s="49" t="s">
        <v>63</v>
      </c>
      <c r="D25" s="52">
        <v>1176787653</v>
      </c>
      <c r="E25" s="6">
        <v>37077</v>
      </c>
      <c r="F25" s="52">
        <v>42</v>
      </c>
      <c r="G25" s="49" t="str">
        <f t="shared" si="0"/>
        <v>Distinction</v>
      </c>
      <c r="H25" s="1">
        <f t="shared" si="1"/>
        <v>0.84</v>
      </c>
      <c r="I25" s="52">
        <v>11</v>
      </c>
      <c r="J25" s="49" t="str">
        <f t="shared" si="2"/>
        <v>Pass</v>
      </c>
      <c r="K25" s="1">
        <f t="shared" si="3"/>
        <v>0.22</v>
      </c>
      <c r="L25" s="52">
        <v>8</v>
      </c>
      <c r="M25" s="49" t="str">
        <f t="shared" si="4"/>
        <v>No Grade</v>
      </c>
      <c r="N25" s="1">
        <f t="shared" si="5"/>
        <v>0.16</v>
      </c>
      <c r="O25" s="52">
        <v>45</v>
      </c>
      <c r="P25" s="49" t="str">
        <f t="shared" si="6"/>
        <v>Distinction</v>
      </c>
      <c r="Q25" s="1">
        <f t="shared" si="7"/>
        <v>0.9</v>
      </c>
      <c r="R25" s="55">
        <f t="shared" si="8"/>
        <v>106</v>
      </c>
      <c r="S25" s="52">
        <v>6</v>
      </c>
      <c r="T25" s="49" t="str">
        <f t="shared" si="9"/>
        <v>No Grade</v>
      </c>
      <c r="U25" s="1">
        <f t="shared" si="10"/>
        <v>0.12</v>
      </c>
      <c r="V25" s="52">
        <v>5</v>
      </c>
      <c r="W25" s="49" t="str">
        <f t="shared" si="11"/>
        <v>No Grade</v>
      </c>
      <c r="X25" s="1">
        <f t="shared" si="12"/>
        <v>0.1</v>
      </c>
      <c r="Y25" s="52">
        <v>49</v>
      </c>
      <c r="Z25" s="49" t="str">
        <f t="shared" si="13"/>
        <v>Distinction</v>
      </c>
      <c r="AA25" s="1">
        <f t="shared" si="14"/>
        <v>0.98</v>
      </c>
      <c r="AB25" s="52">
        <v>33</v>
      </c>
      <c r="AC25" s="49" t="str">
        <f t="shared" si="15"/>
        <v>Merit</v>
      </c>
      <c r="AD25" s="1">
        <f t="shared" si="16"/>
        <v>0.66</v>
      </c>
    </row>
    <row r="26" spans="1:30" x14ac:dyDescent="0.3">
      <c r="A26" s="50" t="s">
        <v>114</v>
      </c>
      <c r="B26" s="49" t="s">
        <v>144</v>
      </c>
      <c r="C26" s="49" t="s">
        <v>63</v>
      </c>
      <c r="D26" s="52">
        <v>7926181607</v>
      </c>
      <c r="E26" s="6" t="s">
        <v>242</v>
      </c>
      <c r="F26" s="52">
        <v>22</v>
      </c>
      <c r="G26" s="49" t="str">
        <f t="shared" si="0"/>
        <v>Pass</v>
      </c>
      <c r="H26" s="1">
        <f t="shared" si="1"/>
        <v>0.44</v>
      </c>
      <c r="I26" s="52">
        <v>38</v>
      </c>
      <c r="J26" s="49" t="str">
        <f t="shared" si="2"/>
        <v>Merit</v>
      </c>
      <c r="K26" s="1">
        <f t="shared" si="3"/>
        <v>0.76</v>
      </c>
      <c r="L26" s="52">
        <v>44</v>
      </c>
      <c r="M26" s="49" t="str">
        <f t="shared" si="4"/>
        <v>Distinction</v>
      </c>
      <c r="N26" s="1">
        <f t="shared" si="5"/>
        <v>0.88</v>
      </c>
      <c r="O26" s="52">
        <v>42</v>
      </c>
      <c r="P26" s="49" t="str">
        <f t="shared" si="6"/>
        <v>Distinction</v>
      </c>
      <c r="Q26" s="1">
        <f t="shared" si="7"/>
        <v>0.84</v>
      </c>
      <c r="R26" s="55">
        <f t="shared" si="8"/>
        <v>146</v>
      </c>
      <c r="S26" s="52">
        <v>29</v>
      </c>
      <c r="T26" s="49" t="str">
        <f t="shared" si="9"/>
        <v>Pass</v>
      </c>
      <c r="U26" s="1">
        <f t="shared" si="10"/>
        <v>0.57999999999999996</v>
      </c>
      <c r="V26" s="52">
        <v>41</v>
      </c>
      <c r="W26" s="49" t="str">
        <f t="shared" si="11"/>
        <v>Distinction</v>
      </c>
      <c r="X26" s="1">
        <f t="shared" si="12"/>
        <v>0.82</v>
      </c>
      <c r="Y26" s="52">
        <v>8</v>
      </c>
      <c r="Z26" s="49" t="str">
        <f t="shared" si="13"/>
        <v>No Grade</v>
      </c>
      <c r="AA26" s="1">
        <f t="shared" si="14"/>
        <v>0.16</v>
      </c>
      <c r="AB26" s="52">
        <v>30</v>
      </c>
      <c r="AC26" s="49" t="str">
        <f t="shared" si="15"/>
        <v>Merit</v>
      </c>
      <c r="AD26" s="1">
        <f t="shared" si="16"/>
        <v>0.6</v>
      </c>
    </row>
    <row r="27" spans="1:30" x14ac:dyDescent="0.3">
      <c r="A27" s="47" t="s">
        <v>93</v>
      </c>
      <c r="B27" s="48" t="s">
        <v>123</v>
      </c>
      <c r="C27" s="48" t="s">
        <v>63</v>
      </c>
      <c r="D27" s="53">
        <v>8658318910</v>
      </c>
      <c r="E27" s="7">
        <v>36896</v>
      </c>
      <c r="F27" s="53">
        <v>8</v>
      </c>
      <c r="G27" s="49" t="str">
        <f t="shared" si="0"/>
        <v>No Grade</v>
      </c>
      <c r="H27" s="3">
        <f t="shared" si="1"/>
        <v>0.16</v>
      </c>
      <c r="I27" s="53">
        <v>19</v>
      </c>
      <c r="J27" s="49" t="str">
        <f t="shared" si="2"/>
        <v>Pass</v>
      </c>
      <c r="K27" s="3">
        <f t="shared" si="3"/>
        <v>0.38</v>
      </c>
      <c r="L27" s="53">
        <v>15</v>
      </c>
      <c r="M27" s="49" t="str">
        <f t="shared" si="4"/>
        <v>Pass</v>
      </c>
      <c r="N27" s="3">
        <f t="shared" si="5"/>
        <v>0.3</v>
      </c>
      <c r="O27" s="53">
        <v>50</v>
      </c>
      <c r="P27" s="49" t="str">
        <f t="shared" si="6"/>
        <v>Distinction</v>
      </c>
      <c r="Q27" s="3">
        <f t="shared" si="7"/>
        <v>1</v>
      </c>
      <c r="R27" s="55">
        <f t="shared" si="8"/>
        <v>92</v>
      </c>
      <c r="S27" s="54">
        <v>19</v>
      </c>
      <c r="T27" s="49" t="str">
        <f t="shared" si="9"/>
        <v>Pass</v>
      </c>
      <c r="U27" s="4">
        <f t="shared" si="10"/>
        <v>0.38</v>
      </c>
      <c r="V27" s="54">
        <v>8</v>
      </c>
      <c r="W27" s="49" t="str">
        <f t="shared" si="11"/>
        <v>No Grade</v>
      </c>
      <c r="X27" s="4">
        <f t="shared" si="12"/>
        <v>0.16</v>
      </c>
      <c r="Y27" s="54">
        <v>43</v>
      </c>
      <c r="Z27" s="49" t="str">
        <f t="shared" si="13"/>
        <v>Distinction</v>
      </c>
      <c r="AA27" s="4">
        <f t="shared" si="14"/>
        <v>0.86</v>
      </c>
      <c r="AB27" s="54">
        <v>39</v>
      </c>
      <c r="AC27" s="49" t="str">
        <f t="shared" si="15"/>
        <v>Merit</v>
      </c>
      <c r="AD27" s="4">
        <f t="shared" si="16"/>
        <v>0.78</v>
      </c>
    </row>
    <row r="28" spans="1:30" x14ac:dyDescent="0.3">
      <c r="A28" s="50" t="s">
        <v>118</v>
      </c>
      <c r="B28" s="49" t="s">
        <v>148</v>
      </c>
      <c r="C28" s="49" t="s">
        <v>63</v>
      </c>
      <c r="D28" s="52">
        <v>2997524064</v>
      </c>
      <c r="E28" s="6" t="s">
        <v>245</v>
      </c>
      <c r="F28" s="52">
        <v>19</v>
      </c>
      <c r="G28" s="49" t="str">
        <f t="shared" si="0"/>
        <v>Pass</v>
      </c>
      <c r="H28" s="1">
        <f t="shared" si="1"/>
        <v>0.38</v>
      </c>
      <c r="I28" s="52">
        <v>9</v>
      </c>
      <c r="J28" s="49" t="str">
        <f t="shared" si="2"/>
        <v>No Grade</v>
      </c>
      <c r="K28" s="1">
        <f t="shared" si="3"/>
        <v>0.18</v>
      </c>
      <c r="L28" s="52">
        <v>26</v>
      </c>
      <c r="M28" s="49" t="str">
        <f t="shared" si="4"/>
        <v>Pass</v>
      </c>
      <c r="N28" s="1">
        <f t="shared" si="5"/>
        <v>0.52</v>
      </c>
      <c r="O28" s="52">
        <v>10</v>
      </c>
      <c r="P28" s="49" t="str">
        <f t="shared" si="6"/>
        <v>Pass</v>
      </c>
      <c r="Q28" s="1">
        <f t="shared" si="7"/>
        <v>0.2</v>
      </c>
      <c r="R28" s="55">
        <f t="shared" si="8"/>
        <v>64</v>
      </c>
      <c r="S28" s="52">
        <v>14</v>
      </c>
      <c r="T28" s="49" t="str">
        <f t="shared" si="9"/>
        <v>Pass</v>
      </c>
      <c r="U28" s="1">
        <f t="shared" si="10"/>
        <v>0.28000000000000003</v>
      </c>
      <c r="V28" s="52">
        <v>25</v>
      </c>
      <c r="W28" s="49" t="str">
        <f t="shared" si="11"/>
        <v>Pass</v>
      </c>
      <c r="X28" s="1">
        <f t="shared" si="12"/>
        <v>0.5</v>
      </c>
      <c r="Y28" s="52">
        <v>49</v>
      </c>
      <c r="Z28" s="49" t="str">
        <f t="shared" si="13"/>
        <v>Distinction</v>
      </c>
      <c r="AA28" s="1">
        <f t="shared" si="14"/>
        <v>0.98</v>
      </c>
      <c r="AB28" s="52">
        <v>22</v>
      </c>
      <c r="AC28" s="49" t="str">
        <f t="shared" si="15"/>
        <v>Pass</v>
      </c>
      <c r="AD28" s="1">
        <f t="shared" si="16"/>
        <v>0.44</v>
      </c>
    </row>
    <row r="29" spans="1:30" x14ac:dyDescent="0.3">
      <c r="A29" s="50" t="s">
        <v>108</v>
      </c>
      <c r="B29" s="49" t="s">
        <v>138</v>
      </c>
      <c r="C29" s="49" t="s">
        <v>63</v>
      </c>
      <c r="D29" s="52">
        <v>1801147862</v>
      </c>
      <c r="E29" s="6">
        <v>37591</v>
      </c>
      <c r="F29" s="52">
        <v>50</v>
      </c>
      <c r="G29" s="49" t="str">
        <f t="shared" si="0"/>
        <v>Distinction</v>
      </c>
      <c r="H29" s="1">
        <f t="shared" si="1"/>
        <v>1</v>
      </c>
      <c r="I29" s="52">
        <v>19</v>
      </c>
      <c r="J29" s="49" t="str">
        <f t="shared" si="2"/>
        <v>Pass</v>
      </c>
      <c r="K29" s="1">
        <f t="shared" si="3"/>
        <v>0.38</v>
      </c>
      <c r="L29" s="52">
        <v>4</v>
      </c>
      <c r="M29" s="49" t="str">
        <f t="shared" si="4"/>
        <v>No Grade</v>
      </c>
      <c r="N29" s="1">
        <f t="shared" si="5"/>
        <v>0.08</v>
      </c>
      <c r="O29" s="52">
        <v>2</v>
      </c>
      <c r="P29" s="49" t="str">
        <f t="shared" si="6"/>
        <v>No Grade</v>
      </c>
      <c r="Q29" s="1">
        <f t="shared" si="7"/>
        <v>0.04</v>
      </c>
      <c r="R29" s="55">
        <f t="shared" si="8"/>
        <v>75</v>
      </c>
      <c r="S29" s="52">
        <v>2</v>
      </c>
      <c r="T29" s="49" t="str">
        <f t="shared" si="9"/>
        <v>No Grade</v>
      </c>
      <c r="U29" s="1">
        <f t="shared" si="10"/>
        <v>0.04</v>
      </c>
      <c r="V29" s="52">
        <v>14</v>
      </c>
      <c r="W29" s="49" t="str">
        <f t="shared" si="11"/>
        <v>Pass</v>
      </c>
      <c r="X29" s="1">
        <f t="shared" si="12"/>
        <v>0.28000000000000003</v>
      </c>
      <c r="Y29" s="52">
        <v>0</v>
      </c>
      <c r="Z29" s="49" t="str">
        <f t="shared" si="13"/>
        <v>No Grade</v>
      </c>
      <c r="AA29" s="1">
        <f t="shared" si="14"/>
        <v>0</v>
      </c>
      <c r="AB29" s="52">
        <v>7</v>
      </c>
      <c r="AC29" s="49" t="str">
        <f t="shared" si="15"/>
        <v>No Grade</v>
      </c>
      <c r="AD29" s="1">
        <f t="shared" si="16"/>
        <v>0.14000000000000001</v>
      </c>
    </row>
    <row r="30" spans="1:30" x14ac:dyDescent="0.3">
      <c r="A30" s="47" t="s">
        <v>95</v>
      </c>
      <c r="B30" s="48" t="s">
        <v>125</v>
      </c>
      <c r="C30" s="48" t="s">
        <v>63</v>
      </c>
      <c r="D30" s="53">
        <v>2825470219</v>
      </c>
      <c r="E30" s="7">
        <v>36924</v>
      </c>
      <c r="F30" s="53">
        <v>17</v>
      </c>
      <c r="G30" s="49" t="str">
        <f t="shared" si="0"/>
        <v>Pass</v>
      </c>
      <c r="H30" s="3">
        <f t="shared" si="1"/>
        <v>0.34</v>
      </c>
      <c r="I30" s="53">
        <v>17</v>
      </c>
      <c r="J30" s="49" t="str">
        <f t="shared" si="2"/>
        <v>Pass</v>
      </c>
      <c r="K30" s="3">
        <f t="shared" si="3"/>
        <v>0.34</v>
      </c>
      <c r="L30" s="53">
        <v>28</v>
      </c>
      <c r="M30" s="49" t="str">
        <f t="shared" si="4"/>
        <v>Pass</v>
      </c>
      <c r="N30" s="3">
        <f t="shared" si="5"/>
        <v>0.56000000000000005</v>
      </c>
      <c r="O30" s="53">
        <v>6</v>
      </c>
      <c r="P30" s="49" t="str">
        <f t="shared" si="6"/>
        <v>No Grade</v>
      </c>
      <c r="Q30" s="3">
        <f t="shared" si="7"/>
        <v>0.12</v>
      </c>
      <c r="R30" s="55">
        <f t="shared" si="8"/>
        <v>68</v>
      </c>
      <c r="S30" s="54">
        <v>10</v>
      </c>
      <c r="T30" s="49" t="str">
        <f t="shared" si="9"/>
        <v>Pass</v>
      </c>
      <c r="U30" s="4">
        <f t="shared" si="10"/>
        <v>0.2</v>
      </c>
      <c r="V30" s="54">
        <v>44</v>
      </c>
      <c r="W30" s="49" t="str">
        <f t="shared" si="11"/>
        <v>Distinction</v>
      </c>
      <c r="X30" s="4">
        <f t="shared" si="12"/>
        <v>0.88</v>
      </c>
      <c r="Y30" s="54">
        <v>43</v>
      </c>
      <c r="Z30" s="49" t="str">
        <f t="shared" si="13"/>
        <v>Distinction</v>
      </c>
      <c r="AA30" s="4">
        <f t="shared" si="14"/>
        <v>0.86</v>
      </c>
      <c r="AB30" s="54">
        <v>18</v>
      </c>
      <c r="AC30" s="49" t="str">
        <f t="shared" si="15"/>
        <v>Pass</v>
      </c>
      <c r="AD30" s="4">
        <f t="shared" si="16"/>
        <v>0.36</v>
      </c>
    </row>
    <row r="31" spans="1:30" x14ac:dyDescent="0.3">
      <c r="A31" s="50" t="s">
        <v>110</v>
      </c>
      <c r="B31" s="49" t="s">
        <v>140</v>
      </c>
      <c r="C31" s="49" t="s">
        <v>63</v>
      </c>
      <c r="D31" s="52">
        <v>9618960861</v>
      </c>
      <c r="E31" s="6" t="s">
        <v>238</v>
      </c>
      <c r="F31" s="52">
        <v>14</v>
      </c>
      <c r="G31" s="49" t="str">
        <f t="shared" si="0"/>
        <v>Pass</v>
      </c>
      <c r="H31" s="1">
        <f t="shared" si="1"/>
        <v>0.28000000000000003</v>
      </c>
      <c r="I31" s="52">
        <v>49</v>
      </c>
      <c r="J31" s="49" t="str">
        <f t="shared" si="2"/>
        <v>Distinction</v>
      </c>
      <c r="K31" s="1">
        <f t="shared" si="3"/>
        <v>0.98</v>
      </c>
      <c r="L31" s="52">
        <v>6</v>
      </c>
      <c r="M31" s="49" t="str">
        <f t="shared" si="4"/>
        <v>No Grade</v>
      </c>
      <c r="N31" s="1">
        <f t="shared" si="5"/>
        <v>0.12</v>
      </c>
      <c r="O31" s="52">
        <v>3</v>
      </c>
      <c r="P31" s="49" t="str">
        <f t="shared" si="6"/>
        <v>No Grade</v>
      </c>
      <c r="Q31" s="1">
        <f t="shared" si="7"/>
        <v>0.06</v>
      </c>
      <c r="R31" s="55">
        <f t="shared" si="8"/>
        <v>72</v>
      </c>
      <c r="S31" s="52">
        <v>7</v>
      </c>
      <c r="T31" s="49" t="str">
        <f t="shared" si="9"/>
        <v>No Grade</v>
      </c>
      <c r="U31" s="1">
        <f t="shared" si="10"/>
        <v>0.14000000000000001</v>
      </c>
      <c r="V31" s="52">
        <v>22</v>
      </c>
      <c r="W31" s="49" t="str">
        <f t="shared" si="11"/>
        <v>Pass</v>
      </c>
      <c r="X31" s="1">
        <f t="shared" si="12"/>
        <v>0.44</v>
      </c>
      <c r="Y31" s="52">
        <v>33</v>
      </c>
      <c r="Z31" s="49" t="str">
        <f t="shared" si="13"/>
        <v>Merit</v>
      </c>
      <c r="AA31" s="1">
        <f t="shared" si="14"/>
        <v>0.66</v>
      </c>
      <c r="AB31" s="52">
        <v>32</v>
      </c>
      <c r="AC31" s="49" t="str">
        <f t="shared" si="15"/>
        <v>Merit</v>
      </c>
      <c r="AD31" s="1">
        <f t="shared" si="16"/>
        <v>0.64</v>
      </c>
    </row>
    <row r="32" spans="1:30" x14ac:dyDescent="0.3">
      <c r="A32" s="47" t="s">
        <v>111</v>
      </c>
      <c r="B32" s="48" t="s">
        <v>141</v>
      </c>
      <c r="C32" s="48" t="s">
        <v>63</v>
      </c>
      <c r="D32" s="51">
        <v>9380631288</v>
      </c>
      <c r="E32" s="7" t="s">
        <v>239</v>
      </c>
      <c r="F32" s="51">
        <v>40</v>
      </c>
      <c r="G32" s="49" t="str">
        <f t="shared" si="0"/>
        <v>Distinction</v>
      </c>
      <c r="H32" s="3">
        <f t="shared" si="1"/>
        <v>0.8</v>
      </c>
      <c r="I32" s="51">
        <v>36</v>
      </c>
      <c r="J32" s="49" t="str">
        <f t="shared" si="2"/>
        <v>Merit</v>
      </c>
      <c r="K32" s="3">
        <f t="shared" si="3"/>
        <v>0.72</v>
      </c>
      <c r="L32" s="51">
        <v>17</v>
      </c>
      <c r="M32" s="49" t="str">
        <f t="shared" si="4"/>
        <v>Pass</v>
      </c>
      <c r="N32" s="3">
        <f t="shared" si="5"/>
        <v>0.34</v>
      </c>
      <c r="O32" s="51">
        <v>2</v>
      </c>
      <c r="P32" s="49" t="str">
        <f t="shared" si="6"/>
        <v>No Grade</v>
      </c>
      <c r="Q32" s="3">
        <f t="shared" si="7"/>
        <v>0.04</v>
      </c>
      <c r="R32" s="55">
        <f t="shared" si="8"/>
        <v>95</v>
      </c>
      <c r="S32" s="54">
        <v>40</v>
      </c>
      <c r="T32" s="49" t="str">
        <f t="shared" si="9"/>
        <v>Distinction</v>
      </c>
      <c r="U32" s="4">
        <f t="shared" si="10"/>
        <v>0.8</v>
      </c>
      <c r="V32" s="54">
        <v>40</v>
      </c>
      <c r="W32" s="49" t="str">
        <f t="shared" si="11"/>
        <v>Distinction</v>
      </c>
      <c r="X32" s="4">
        <f t="shared" si="12"/>
        <v>0.8</v>
      </c>
      <c r="Y32" s="54">
        <v>37</v>
      </c>
      <c r="Z32" s="49" t="str">
        <f t="shared" si="13"/>
        <v>Merit</v>
      </c>
      <c r="AA32" s="4">
        <f t="shared" si="14"/>
        <v>0.74</v>
      </c>
      <c r="AB32" s="54">
        <v>14</v>
      </c>
      <c r="AC32" s="49" t="str">
        <f t="shared" si="15"/>
        <v>Pass</v>
      </c>
      <c r="AD32" s="4">
        <f t="shared" si="16"/>
        <v>0.28000000000000003</v>
      </c>
    </row>
    <row r="33" spans="1:30" x14ac:dyDescent="0.3">
      <c r="A33" s="50" t="s">
        <v>96</v>
      </c>
      <c r="B33" s="49" t="s">
        <v>126</v>
      </c>
      <c r="C33" s="49" t="s">
        <v>64</v>
      </c>
      <c r="D33" s="52">
        <v>7500836275</v>
      </c>
      <c r="E33" s="6" t="s">
        <v>230</v>
      </c>
      <c r="F33" s="52">
        <v>28</v>
      </c>
      <c r="G33" s="49" t="str">
        <f t="shared" si="0"/>
        <v>Pass</v>
      </c>
      <c r="H33" s="1">
        <f t="shared" si="1"/>
        <v>0.56000000000000005</v>
      </c>
      <c r="I33" s="52">
        <v>8</v>
      </c>
      <c r="J33" s="49" t="str">
        <f t="shared" si="2"/>
        <v>No Grade</v>
      </c>
      <c r="K33" s="1">
        <f t="shared" si="3"/>
        <v>0.16</v>
      </c>
      <c r="L33" s="52">
        <v>10</v>
      </c>
      <c r="M33" s="49" t="str">
        <f t="shared" si="4"/>
        <v>Pass</v>
      </c>
      <c r="N33" s="1">
        <f t="shared" si="5"/>
        <v>0.2</v>
      </c>
      <c r="O33" s="52">
        <v>8</v>
      </c>
      <c r="P33" s="49" t="str">
        <f t="shared" si="6"/>
        <v>No Grade</v>
      </c>
      <c r="Q33" s="1">
        <f t="shared" si="7"/>
        <v>0.16</v>
      </c>
      <c r="R33" s="55">
        <f t="shared" si="8"/>
        <v>54</v>
      </c>
      <c r="S33" s="52">
        <v>26</v>
      </c>
      <c r="T33" s="49" t="str">
        <f t="shared" si="9"/>
        <v>Pass</v>
      </c>
      <c r="U33" s="1">
        <f t="shared" si="10"/>
        <v>0.52</v>
      </c>
      <c r="V33" s="52">
        <v>7</v>
      </c>
      <c r="W33" s="49" t="str">
        <f t="shared" si="11"/>
        <v>No Grade</v>
      </c>
      <c r="X33" s="1">
        <f t="shared" si="12"/>
        <v>0.14000000000000001</v>
      </c>
      <c r="Y33" s="52">
        <v>46</v>
      </c>
      <c r="Z33" s="49" t="str">
        <f t="shared" si="13"/>
        <v>Distinction</v>
      </c>
      <c r="AA33" s="1">
        <f t="shared" si="14"/>
        <v>0.92</v>
      </c>
      <c r="AB33" s="52">
        <v>40</v>
      </c>
      <c r="AC33" s="49" t="str">
        <f t="shared" si="15"/>
        <v>Distinction</v>
      </c>
      <c r="AD33" s="1">
        <f t="shared" si="16"/>
        <v>0.8</v>
      </c>
    </row>
    <row r="34" spans="1:30" x14ac:dyDescent="0.3">
      <c r="A34" s="50" t="s">
        <v>90</v>
      </c>
      <c r="B34" s="49" t="s">
        <v>120</v>
      </c>
      <c r="C34" s="49" t="s">
        <v>63</v>
      </c>
      <c r="D34" s="52">
        <v>2854374615</v>
      </c>
      <c r="E34" s="6">
        <v>36971</v>
      </c>
      <c r="F34" s="52">
        <v>50</v>
      </c>
      <c r="G34" s="49" t="str">
        <f t="shared" si="0"/>
        <v>Distinction</v>
      </c>
      <c r="H34" s="1">
        <f t="shared" si="1"/>
        <v>1</v>
      </c>
      <c r="I34" s="52">
        <v>50</v>
      </c>
      <c r="J34" s="49" t="str">
        <f t="shared" si="2"/>
        <v>Distinction</v>
      </c>
      <c r="K34" s="1">
        <f t="shared" si="3"/>
        <v>1</v>
      </c>
      <c r="L34" s="52">
        <v>50</v>
      </c>
      <c r="M34" s="49" t="str">
        <f t="shared" si="4"/>
        <v>Distinction</v>
      </c>
      <c r="N34" s="1">
        <f t="shared" si="5"/>
        <v>1</v>
      </c>
      <c r="O34" s="52">
        <v>50</v>
      </c>
      <c r="P34" s="49" t="str">
        <f t="shared" si="6"/>
        <v>Distinction</v>
      </c>
      <c r="Q34" s="1">
        <f t="shared" si="7"/>
        <v>1</v>
      </c>
      <c r="R34" s="55">
        <f t="shared" si="8"/>
        <v>200</v>
      </c>
      <c r="S34" s="52">
        <v>50</v>
      </c>
      <c r="T34" s="49" t="str">
        <f t="shared" si="9"/>
        <v>Distinction</v>
      </c>
      <c r="U34" s="1">
        <f t="shared" si="10"/>
        <v>1</v>
      </c>
      <c r="V34" s="52">
        <v>50</v>
      </c>
      <c r="W34" s="49" t="str">
        <f t="shared" si="11"/>
        <v>Distinction</v>
      </c>
      <c r="X34" s="1">
        <f t="shared" si="12"/>
        <v>1</v>
      </c>
      <c r="Y34" s="52">
        <v>50</v>
      </c>
      <c r="Z34" s="49" t="str">
        <f t="shared" si="13"/>
        <v>Distinction</v>
      </c>
      <c r="AA34" s="1">
        <f t="shared" si="14"/>
        <v>1</v>
      </c>
      <c r="AB34" s="52">
        <v>50</v>
      </c>
      <c r="AC34" s="49" t="str">
        <f t="shared" si="15"/>
        <v>Distinction</v>
      </c>
      <c r="AD34" s="1">
        <f t="shared" si="16"/>
        <v>1</v>
      </c>
    </row>
    <row r="35" spans="1:30" x14ac:dyDescent="0.3">
      <c r="A35" s="50" t="s">
        <v>116</v>
      </c>
      <c r="B35" s="49" t="s">
        <v>146</v>
      </c>
      <c r="C35" s="49" t="s">
        <v>63</v>
      </c>
      <c r="D35" s="52">
        <v>3064858971</v>
      </c>
      <c r="E35" s="6">
        <v>37290</v>
      </c>
      <c r="F35" s="52">
        <v>15</v>
      </c>
      <c r="G35" s="49" t="str">
        <f t="shared" si="0"/>
        <v>Pass</v>
      </c>
      <c r="H35" s="1">
        <f t="shared" si="1"/>
        <v>0.3</v>
      </c>
      <c r="I35" s="52">
        <v>47</v>
      </c>
      <c r="J35" s="49" t="str">
        <f t="shared" si="2"/>
        <v>Distinction</v>
      </c>
      <c r="K35" s="1">
        <f t="shared" si="3"/>
        <v>0.94</v>
      </c>
      <c r="L35" s="52">
        <v>48</v>
      </c>
      <c r="M35" s="49" t="str">
        <f t="shared" si="4"/>
        <v>Distinction</v>
      </c>
      <c r="N35" s="1">
        <f t="shared" si="5"/>
        <v>0.96</v>
      </c>
      <c r="O35" s="52">
        <v>37</v>
      </c>
      <c r="P35" s="49" t="str">
        <f t="shared" si="6"/>
        <v>Merit</v>
      </c>
      <c r="Q35" s="1">
        <f t="shared" si="7"/>
        <v>0.74</v>
      </c>
      <c r="R35" s="55">
        <f t="shared" si="8"/>
        <v>147</v>
      </c>
      <c r="S35" s="52">
        <v>1</v>
      </c>
      <c r="T35" s="49" t="str">
        <f t="shared" si="9"/>
        <v>No Grade</v>
      </c>
      <c r="U35" s="1">
        <f t="shared" si="10"/>
        <v>0.02</v>
      </c>
      <c r="V35" s="52">
        <v>36</v>
      </c>
      <c r="W35" s="49" t="str">
        <f t="shared" si="11"/>
        <v>Merit</v>
      </c>
      <c r="X35" s="1">
        <f t="shared" si="12"/>
        <v>0.72</v>
      </c>
      <c r="Y35" s="52">
        <v>26</v>
      </c>
      <c r="Z35" s="49" t="str">
        <f t="shared" si="13"/>
        <v>Pass</v>
      </c>
      <c r="AA35" s="1">
        <f t="shared" si="14"/>
        <v>0.52</v>
      </c>
      <c r="AB35" s="52">
        <v>9</v>
      </c>
      <c r="AC35" s="49" t="str">
        <f t="shared" si="15"/>
        <v>No Grade</v>
      </c>
      <c r="AD35" s="1">
        <f t="shared" si="16"/>
        <v>0.18</v>
      </c>
    </row>
    <row r="38" spans="1:30" ht="21" x14ac:dyDescent="0.3">
      <c r="B38" s="105"/>
      <c r="C38" s="105"/>
      <c r="D38" s="105"/>
      <c r="E38" s="105"/>
      <c r="F38" s="105"/>
      <c r="H38" s="128"/>
      <c r="I38" s="125" t="s">
        <v>322</v>
      </c>
      <c r="J38" s="126"/>
      <c r="K38" s="126"/>
      <c r="L38" s="126"/>
      <c r="M38" s="126"/>
      <c r="N38" s="126"/>
      <c r="O38" s="126"/>
      <c r="P38" s="127"/>
      <c r="R38" s="130" t="s">
        <v>0</v>
      </c>
      <c r="S38" s="130"/>
      <c r="T38" s="130"/>
    </row>
    <row r="39" spans="1:30" ht="19.95" customHeight="1" x14ac:dyDescent="0.3">
      <c r="B39" s="105"/>
      <c r="C39" s="105"/>
      <c r="D39" s="105"/>
      <c r="E39" s="105"/>
      <c r="F39" s="105"/>
      <c r="H39" s="128"/>
      <c r="I39" s="109" t="s">
        <v>5</v>
      </c>
      <c r="J39" s="110"/>
      <c r="K39" s="110"/>
      <c r="L39" s="111"/>
      <c r="M39" s="109" t="s">
        <v>12</v>
      </c>
      <c r="N39" s="110"/>
      <c r="O39" s="110"/>
      <c r="P39" s="111"/>
      <c r="R39" s="46" t="s">
        <v>88</v>
      </c>
      <c r="S39" s="124">
        <f>COUNTA(FirstName2)</f>
        <v>30</v>
      </c>
      <c r="T39" s="124"/>
    </row>
    <row r="40" spans="1:30" ht="19.95" customHeight="1" x14ac:dyDescent="0.3">
      <c r="B40" s="105"/>
      <c r="C40" s="105"/>
      <c r="D40" s="105"/>
      <c r="E40" s="105"/>
      <c r="F40" s="105"/>
      <c r="H40" s="129"/>
      <c r="I40" s="46" t="s">
        <v>84</v>
      </c>
      <c r="J40" s="46" t="s">
        <v>85</v>
      </c>
      <c r="K40" s="46" t="s">
        <v>315</v>
      </c>
      <c r="L40" s="46" t="s">
        <v>86</v>
      </c>
      <c r="M40" s="46" t="s">
        <v>84</v>
      </c>
      <c r="N40" s="46" t="s">
        <v>85</v>
      </c>
      <c r="O40" s="46" t="s">
        <v>315</v>
      </c>
      <c r="P40" s="46" t="s">
        <v>86</v>
      </c>
      <c r="R40" s="46" t="s">
        <v>79</v>
      </c>
      <c r="S40" s="131">
        <f>AVERAGE(R6:R35)</f>
        <v>101.66666666666667</v>
      </c>
      <c r="T40" s="131"/>
    </row>
    <row r="41" spans="1:30" ht="21" customHeight="1" x14ac:dyDescent="0.3">
      <c r="B41" s="105"/>
      <c r="C41" s="105"/>
      <c r="D41" s="105"/>
      <c r="E41" s="105"/>
      <c r="F41" s="105"/>
      <c r="H41" s="56" t="s">
        <v>83</v>
      </c>
      <c r="I41" s="60">
        <f>COUNTIF(G6:G35,"Distinction")</f>
        <v>8</v>
      </c>
      <c r="J41" s="60">
        <f>COUNTIF(J6:J35,"Distinction")</f>
        <v>9</v>
      </c>
      <c r="K41" s="60">
        <f>COUNTIF(M6:M35,"Distinction")</f>
        <v>10</v>
      </c>
      <c r="L41" s="60">
        <f>COUNTIF(P6:P35,"Distinction")</f>
        <v>8</v>
      </c>
      <c r="M41" s="60">
        <f>COUNTIF(T6:T35,"Distinction")</f>
        <v>7</v>
      </c>
      <c r="N41" s="60">
        <f>COUNTIF(W6:W35,"Distinction")</f>
        <v>6</v>
      </c>
      <c r="O41" s="60">
        <f>COUNTIF(Z6:Z35,"Distinction")</f>
        <v>11</v>
      </c>
      <c r="P41" s="60">
        <f>COUNTIF(AC6:AC35,"Distinction")</f>
        <v>7</v>
      </c>
      <c r="R41" s="46" t="s">
        <v>314</v>
      </c>
      <c r="S41" s="124">
        <f>MAX(R6:R35)</f>
        <v>200</v>
      </c>
      <c r="T41" s="124"/>
    </row>
    <row r="42" spans="1:30" ht="21" customHeight="1" x14ac:dyDescent="0.3">
      <c r="B42" s="105"/>
      <c r="C42" s="105"/>
      <c r="D42" s="105"/>
      <c r="E42" s="105"/>
      <c r="F42" s="105"/>
      <c r="H42" s="57" t="s">
        <v>82</v>
      </c>
      <c r="I42" s="51">
        <f>COUNTIF(G6:G35,"Merit")</f>
        <v>2</v>
      </c>
      <c r="J42" s="51">
        <f>COUNTIF(J6:J35,"Merit")</f>
        <v>4</v>
      </c>
      <c r="K42" s="51">
        <f>COUNTIF(M6:M35,"Merit")</f>
        <v>2</v>
      </c>
      <c r="L42" s="51">
        <f>COUNTIF(P6:P35,"Merit")</f>
        <v>2</v>
      </c>
      <c r="M42" s="51">
        <f>COUNTIF(T6:T35,"Merit")</f>
        <v>6</v>
      </c>
      <c r="N42" s="51">
        <f>COUNTIF(W6:W35,"Merit")</f>
        <v>6</v>
      </c>
      <c r="O42" s="51">
        <f>COUNTIF(Z6:Z35,"Merit")</f>
        <v>7</v>
      </c>
      <c r="P42" s="51">
        <f>COUNTIF(AC6:AC35,"Merit")</f>
        <v>6</v>
      </c>
      <c r="R42" s="46" t="s">
        <v>89</v>
      </c>
      <c r="S42" s="124">
        <f>MIN(R6:R35)</f>
        <v>20</v>
      </c>
      <c r="T42" s="124"/>
    </row>
    <row r="43" spans="1:30" ht="15.6" x14ac:dyDescent="0.3">
      <c r="H43" s="58" t="s">
        <v>81</v>
      </c>
      <c r="I43" s="60">
        <f>COUNTIF(G6:G35,"Pass")</f>
        <v>16</v>
      </c>
      <c r="J43" s="60">
        <f>COUNTIF(J6:J35,"Pass")</f>
        <v>12</v>
      </c>
      <c r="K43" s="60">
        <f>COUNTIF(M6:M35,"Pass")</f>
        <v>11</v>
      </c>
      <c r="L43" s="60">
        <f>COUNTIF(P6:P35,"Pass")</f>
        <v>12</v>
      </c>
      <c r="M43" s="60">
        <f>COUNTIF(T6:T35,"Pass")</f>
        <v>8</v>
      </c>
      <c r="N43" s="60">
        <f>COUNTIF(W6:W35,"Pass")</f>
        <v>13</v>
      </c>
      <c r="O43" s="60">
        <f>COUNTIF(Z6:Z35,"Pass")</f>
        <v>6</v>
      </c>
      <c r="P43" s="60">
        <f>COUNTIF(AC6:AC35,"Pass")</f>
        <v>9</v>
      </c>
    </row>
    <row r="44" spans="1:30" ht="15.6" x14ac:dyDescent="0.3">
      <c r="B44" s="105"/>
      <c r="C44" s="105"/>
      <c r="D44" s="105"/>
      <c r="E44" s="105"/>
      <c r="F44" s="105"/>
      <c r="H44" s="59" t="s">
        <v>80</v>
      </c>
      <c r="I44" s="51">
        <f>COUNTIF(G6:G35,"No Grade")</f>
        <v>4</v>
      </c>
      <c r="J44" s="51">
        <f>COUNTIF(J6:J35,"No Grade")</f>
        <v>5</v>
      </c>
      <c r="K44" s="51">
        <f>COUNTIF(M6:M35,"No Grade")</f>
        <v>7</v>
      </c>
      <c r="L44" s="51">
        <f>COUNTIF(P6:P35,"No Grade")</f>
        <v>8</v>
      </c>
      <c r="M44" s="51">
        <f>COUNTIF(T6:T35,"No Grade")</f>
        <v>9</v>
      </c>
      <c r="N44" s="51">
        <f>COUNTIF(W6:W35,"No Grade")</f>
        <v>5</v>
      </c>
      <c r="O44" s="51">
        <f>COUNTIF(Z6:Z35,"No Grade")</f>
        <v>6</v>
      </c>
      <c r="P44" s="51">
        <f>COUNTIF(AC6:AC35,"No Grade")</f>
        <v>8</v>
      </c>
    </row>
    <row r="45" spans="1:30" x14ac:dyDescent="0.3">
      <c r="B45" s="105"/>
      <c r="C45" s="105"/>
      <c r="D45" s="105"/>
      <c r="E45" s="105"/>
      <c r="F45" s="105"/>
    </row>
    <row r="46" spans="1:30" x14ac:dyDescent="0.3">
      <c r="B46" s="105"/>
      <c r="C46" s="105"/>
      <c r="D46" s="105"/>
      <c r="E46" s="105"/>
      <c r="F46" s="105"/>
    </row>
    <row r="47" spans="1:30" ht="19.95" customHeight="1" x14ac:dyDescent="0.3">
      <c r="B47" s="105"/>
      <c r="C47" s="105"/>
      <c r="D47" s="105"/>
      <c r="E47" s="105"/>
      <c r="F47" s="105"/>
    </row>
    <row r="48" spans="1:30" ht="19.95" customHeight="1" x14ac:dyDescent="0.3">
      <c r="B48" s="105"/>
      <c r="C48" s="105"/>
      <c r="D48" s="105"/>
      <c r="E48" s="105"/>
      <c r="F48" s="105"/>
    </row>
    <row r="49" ht="19.95" customHeight="1" x14ac:dyDescent="0.3"/>
    <row r="50" ht="19.95" customHeight="1" x14ac:dyDescent="0.3"/>
  </sheetData>
  <sheetProtection sheet="1" objects="1" scenarios="1" sort="0" autoFilter="0"/>
  <sortState xmlns:xlrd2="http://schemas.microsoft.com/office/spreadsheetml/2017/richdata2" ref="A6:AD35">
    <sortCondition ref="A6:A35"/>
  </sortState>
  <mergeCells count="28">
    <mergeCell ref="Y4:AA4"/>
    <mergeCell ref="A1:AD2"/>
    <mergeCell ref="F3:Q3"/>
    <mergeCell ref="S3:AD3"/>
    <mergeCell ref="F4:H4"/>
    <mergeCell ref="AB4:AD4"/>
    <mergeCell ref="I4:K4"/>
    <mergeCell ref="L4:N4"/>
    <mergeCell ref="O4:Q4"/>
    <mergeCell ref="S4:U4"/>
    <mergeCell ref="V4:X4"/>
    <mergeCell ref="A3:A5"/>
    <mergeCell ref="B3:B5"/>
    <mergeCell ref="C3:C5"/>
    <mergeCell ref="D3:D5"/>
    <mergeCell ref="E3:E5"/>
    <mergeCell ref="R3:R5"/>
    <mergeCell ref="R38:T38"/>
    <mergeCell ref="S39:T39"/>
    <mergeCell ref="S40:T40"/>
    <mergeCell ref="S41:T41"/>
    <mergeCell ref="B38:F42"/>
    <mergeCell ref="B44:F48"/>
    <mergeCell ref="S42:T42"/>
    <mergeCell ref="I38:P38"/>
    <mergeCell ref="I39:L39"/>
    <mergeCell ref="M39:P39"/>
    <mergeCell ref="H38:H40"/>
  </mergeCells>
  <conditionalFormatting sqref="G6:G35">
    <cfRule type="cellIs" dxfId="311" priority="40" operator="equal">
      <formula>"Distinction"</formula>
    </cfRule>
    <cfRule type="cellIs" dxfId="310" priority="41" operator="equal">
      <formula>"Distinction"</formula>
    </cfRule>
  </conditionalFormatting>
  <conditionalFormatting sqref="G6:G35">
    <cfRule type="cellIs" dxfId="309" priority="39" operator="equal">
      <formula>"Merit"</formula>
    </cfRule>
  </conditionalFormatting>
  <conditionalFormatting sqref="G6:G35">
    <cfRule type="cellIs" dxfId="308" priority="38" operator="equal">
      <formula>"Pass"</formula>
    </cfRule>
  </conditionalFormatting>
  <conditionalFormatting sqref="G6:G35">
    <cfRule type="cellIs" dxfId="307" priority="37" operator="equal">
      <formula>"No Grade"</formula>
    </cfRule>
  </conditionalFormatting>
  <conditionalFormatting sqref="J6:J35">
    <cfRule type="cellIs" dxfId="306" priority="35" operator="equal">
      <formula>"Distinction"</formula>
    </cfRule>
    <cfRule type="cellIs" dxfId="305" priority="36" operator="equal">
      <formula>"Distinction"</formula>
    </cfRule>
  </conditionalFormatting>
  <conditionalFormatting sqref="J6:J35">
    <cfRule type="cellIs" dxfId="304" priority="34" operator="equal">
      <formula>"Merit"</formula>
    </cfRule>
  </conditionalFormatting>
  <conditionalFormatting sqref="J6:J35">
    <cfRule type="cellIs" dxfId="303" priority="33" operator="equal">
      <formula>"Pass"</formula>
    </cfRule>
  </conditionalFormatting>
  <conditionalFormatting sqref="J6:J35">
    <cfRule type="cellIs" dxfId="302" priority="32" operator="equal">
      <formula>"No Grade"</formula>
    </cfRule>
  </conditionalFormatting>
  <conditionalFormatting sqref="M6:M35">
    <cfRule type="cellIs" dxfId="301" priority="30" operator="equal">
      <formula>"Distinction"</formula>
    </cfRule>
    <cfRule type="cellIs" dxfId="300" priority="31" operator="equal">
      <formula>"Distinction"</formula>
    </cfRule>
  </conditionalFormatting>
  <conditionalFormatting sqref="M6:M35">
    <cfRule type="cellIs" dxfId="299" priority="29" operator="equal">
      <formula>"Merit"</formula>
    </cfRule>
  </conditionalFormatting>
  <conditionalFormatting sqref="M6:M35">
    <cfRule type="cellIs" dxfId="298" priority="28" operator="equal">
      <formula>"Pass"</formula>
    </cfRule>
  </conditionalFormatting>
  <conditionalFormatting sqref="M6:M35">
    <cfRule type="cellIs" dxfId="297" priority="27" operator="equal">
      <formula>"No Grade"</formula>
    </cfRule>
  </conditionalFormatting>
  <conditionalFormatting sqref="P6:P35">
    <cfRule type="cellIs" dxfId="296" priority="25" operator="equal">
      <formula>"Distinction"</formula>
    </cfRule>
    <cfRule type="cellIs" dxfId="295" priority="26" operator="equal">
      <formula>"Distinction"</formula>
    </cfRule>
  </conditionalFormatting>
  <conditionalFormatting sqref="P6:P35">
    <cfRule type="cellIs" dxfId="294" priority="24" operator="equal">
      <formula>"Merit"</formula>
    </cfRule>
  </conditionalFormatting>
  <conditionalFormatting sqref="P6:P35">
    <cfRule type="cellIs" dxfId="293" priority="23" operator="equal">
      <formula>"Pass"</formula>
    </cfRule>
  </conditionalFormatting>
  <conditionalFormatting sqref="P6:P35">
    <cfRule type="cellIs" dxfId="292" priority="22" operator="equal">
      <formula>"No Grade"</formula>
    </cfRule>
  </conditionalFormatting>
  <conditionalFormatting sqref="T6:T35">
    <cfRule type="cellIs" dxfId="291" priority="20" operator="equal">
      <formula>"Distinction"</formula>
    </cfRule>
    <cfRule type="cellIs" dxfId="290" priority="21" operator="equal">
      <formula>"Distinction"</formula>
    </cfRule>
  </conditionalFormatting>
  <conditionalFormatting sqref="T6:T35">
    <cfRule type="cellIs" dxfId="289" priority="19" operator="equal">
      <formula>"Merit"</formula>
    </cfRule>
  </conditionalFormatting>
  <conditionalFormatting sqref="T6:T35">
    <cfRule type="cellIs" dxfId="288" priority="18" operator="equal">
      <formula>"Pass"</formula>
    </cfRule>
  </conditionalFormatting>
  <conditionalFormatting sqref="T6:T35">
    <cfRule type="cellIs" dxfId="287" priority="17" operator="equal">
      <formula>"No Grade"</formula>
    </cfRule>
  </conditionalFormatting>
  <conditionalFormatting sqref="W6:W35">
    <cfRule type="cellIs" dxfId="286" priority="15" operator="equal">
      <formula>"Distinction"</formula>
    </cfRule>
    <cfRule type="cellIs" dxfId="285" priority="16" operator="equal">
      <formula>"Distinction"</formula>
    </cfRule>
  </conditionalFormatting>
  <conditionalFormatting sqref="W6:W35">
    <cfRule type="cellIs" dxfId="284" priority="14" operator="equal">
      <formula>"Merit"</formula>
    </cfRule>
  </conditionalFormatting>
  <conditionalFormatting sqref="W6:W35">
    <cfRule type="cellIs" dxfId="283" priority="13" operator="equal">
      <formula>"Pass"</formula>
    </cfRule>
  </conditionalFormatting>
  <conditionalFormatting sqref="W6:W35">
    <cfRule type="cellIs" dxfId="282" priority="12" operator="equal">
      <formula>"No Grade"</formula>
    </cfRule>
  </conditionalFormatting>
  <conditionalFormatting sqref="Z6:Z35">
    <cfRule type="cellIs" dxfId="281" priority="10" operator="equal">
      <formula>"Distinction"</formula>
    </cfRule>
    <cfRule type="cellIs" dxfId="280" priority="11" operator="equal">
      <formula>"Distinction"</formula>
    </cfRule>
  </conditionalFormatting>
  <conditionalFormatting sqref="Z6:Z35">
    <cfRule type="cellIs" dxfId="279" priority="9" operator="equal">
      <formula>"Merit"</formula>
    </cfRule>
  </conditionalFormatting>
  <conditionalFormatting sqref="Z6:Z35">
    <cfRule type="cellIs" dxfId="278" priority="8" operator="equal">
      <formula>"Pass"</formula>
    </cfRule>
  </conditionalFormatting>
  <conditionalFormatting sqref="Z6:Z35">
    <cfRule type="cellIs" dxfId="277" priority="7" operator="equal">
      <formula>"No Grade"</formula>
    </cfRule>
  </conditionalFormatting>
  <conditionalFormatting sqref="AC6:AC35">
    <cfRule type="cellIs" dxfId="276" priority="5" operator="equal">
      <formula>"Distinction"</formula>
    </cfRule>
    <cfRule type="cellIs" dxfId="275" priority="6" operator="equal">
      <formula>"Distinction"</formula>
    </cfRule>
  </conditionalFormatting>
  <conditionalFormatting sqref="AC6:AC35">
    <cfRule type="cellIs" dxfId="274" priority="4" operator="equal">
      <formula>"Merit"</formula>
    </cfRule>
  </conditionalFormatting>
  <conditionalFormatting sqref="AC6:AC35">
    <cfRule type="cellIs" dxfId="273" priority="3" operator="equal">
      <formula>"Pass"</formula>
    </cfRule>
  </conditionalFormatting>
  <conditionalFormatting sqref="AC6:AC35">
    <cfRule type="cellIs" dxfId="272" priority="2" operator="equal">
      <formula>"No Grade"</formula>
    </cfRule>
  </conditionalFormatting>
  <conditionalFormatting sqref="R6:R35">
    <cfRule type="dataBar" priority="1">
      <dataBar>
        <cfvo type="min"/>
        <cfvo type="max"/>
        <color rgb="FFD6007B"/>
      </dataBar>
      <extLst>
        <ext xmlns:x14="http://schemas.microsoft.com/office/spreadsheetml/2009/9/main" uri="{B025F937-C7B1-47D3-B67F-A62EFF666E3E}">
          <x14:id>{4A59D109-8D31-4CA4-9CA5-55AC84E9C81E}</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A59D109-8D31-4CA4-9CA5-55AC84E9C81E}">
            <x14:dataBar minLength="0" maxLength="100" border="1" negativeBarBorderColorSameAsPositive="0">
              <x14:cfvo type="autoMin"/>
              <x14:cfvo type="autoMax"/>
              <x14:borderColor rgb="FFD6007B"/>
              <x14:negativeFillColor rgb="FFFF0000"/>
              <x14:negativeBorderColor rgb="FFFF0000"/>
              <x14:axisColor rgb="FF000000"/>
            </x14:dataBar>
          </x14:cfRule>
          <xm:sqref>R6:R35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D49"/>
  <sheetViews>
    <sheetView zoomScale="55" zoomScaleNormal="55" workbookViewId="0">
      <pane xSplit="1" topLeftCell="B1" activePane="topRight" state="frozen"/>
      <selection activeCell="B4" sqref="B4"/>
      <selection pane="topRight" activeCell="I42" sqref="I42"/>
    </sheetView>
  </sheetViews>
  <sheetFormatPr defaultRowHeight="14.4" x14ac:dyDescent="0.3"/>
  <cols>
    <col min="1" max="1" width="15.109375" bestFit="1" customWidth="1"/>
    <col min="2" max="2" width="23.6640625" customWidth="1"/>
    <col min="3" max="3" width="10.6640625" customWidth="1"/>
    <col min="4" max="4" width="14.6640625" customWidth="1"/>
    <col min="5" max="5" width="13.6640625" bestFit="1" customWidth="1"/>
    <col min="6" max="6" width="7.6640625" bestFit="1" customWidth="1"/>
    <col min="7" max="7" width="11" customWidth="1"/>
    <col min="8" max="8" width="17.33203125" bestFit="1" customWidth="1"/>
    <col min="9" max="9" width="7.6640625" bestFit="1" customWidth="1"/>
    <col min="10" max="10" width="11" customWidth="1"/>
    <col min="11" max="11" width="15.6640625" bestFit="1" customWidth="1"/>
    <col min="12" max="12" width="7.6640625" bestFit="1" customWidth="1"/>
    <col min="13" max="13" width="11" customWidth="1"/>
    <col min="14" max="14" width="15.6640625" customWidth="1"/>
    <col min="15" max="15" width="7.6640625" bestFit="1" customWidth="1"/>
    <col min="16" max="16" width="11" customWidth="1"/>
    <col min="17" max="17" width="15.6640625" customWidth="1"/>
    <col min="18" max="18" width="27.44140625" customWidth="1"/>
    <col min="19" max="19" width="7.6640625" bestFit="1" customWidth="1"/>
    <col min="20" max="20" width="11" customWidth="1"/>
    <col min="21" max="21" width="15.6640625" customWidth="1"/>
    <col min="22" max="22" width="7.6640625" bestFit="1" customWidth="1"/>
    <col min="23" max="23" width="11" customWidth="1"/>
    <col min="24" max="24" width="15.6640625" customWidth="1"/>
    <col min="25" max="25" width="7.6640625" bestFit="1" customWidth="1"/>
    <col min="26" max="26" width="11" customWidth="1"/>
    <col min="27" max="27" width="15.6640625" customWidth="1"/>
    <col min="28" max="28" width="7.6640625" bestFit="1" customWidth="1"/>
    <col min="29" max="29" width="11" customWidth="1"/>
    <col min="30" max="30" width="15.6640625" customWidth="1"/>
  </cols>
  <sheetData>
    <row r="1" spans="1:30" x14ac:dyDescent="0.3">
      <c r="A1" s="114" t="s">
        <v>272</v>
      </c>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6"/>
    </row>
    <row r="2" spans="1:30" x14ac:dyDescent="0.3">
      <c r="A2" s="117"/>
      <c r="B2" s="118"/>
      <c r="C2" s="118"/>
      <c r="D2" s="118"/>
      <c r="E2" s="118"/>
      <c r="F2" s="118"/>
      <c r="G2" s="118"/>
      <c r="H2" s="118"/>
      <c r="I2" s="118"/>
      <c r="J2" s="118"/>
      <c r="K2" s="118"/>
      <c r="L2" s="118"/>
      <c r="M2" s="118"/>
      <c r="N2" s="118"/>
      <c r="O2" s="118"/>
      <c r="P2" s="118"/>
      <c r="Q2" s="118"/>
      <c r="R2" s="118"/>
      <c r="S2" s="118"/>
      <c r="T2" s="118"/>
      <c r="U2" s="118"/>
      <c r="V2" s="118"/>
      <c r="W2" s="118"/>
      <c r="X2" s="118"/>
      <c r="Y2" s="118"/>
      <c r="Z2" s="118"/>
      <c r="AA2" s="118"/>
      <c r="AB2" s="118"/>
      <c r="AC2" s="118"/>
      <c r="AD2" s="119"/>
    </row>
    <row r="3" spans="1:30" ht="14.4" customHeight="1" x14ac:dyDescent="0.3">
      <c r="A3" s="97" t="s">
        <v>1</v>
      </c>
      <c r="B3" s="97" t="s">
        <v>2</v>
      </c>
      <c r="C3" s="97" t="s">
        <v>4</v>
      </c>
      <c r="D3" s="97" t="s">
        <v>210</v>
      </c>
      <c r="E3" s="97" t="s">
        <v>3</v>
      </c>
      <c r="F3" s="109" t="s">
        <v>5</v>
      </c>
      <c r="G3" s="110"/>
      <c r="H3" s="110"/>
      <c r="I3" s="110"/>
      <c r="J3" s="110"/>
      <c r="K3" s="110"/>
      <c r="L3" s="110"/>
      <c r="M3" s="110"/>
      <c r="N3" s="110"/>
      <c r="O3" s="110"/>
      <c r="P3" s="110"/>
      <c r="Q3" s="111"/>
      <c r="R3" s="121" t="s">
        <v>87</v>
      </c>
      <c r="S3" s="109" t="s">
        <v>12</v>
      </c>
      <c r="T3" s="110"/>
      <c r="U3" s="110"/>
      <c r="V3" s="110"/>
      <c r="W3" s="110"/>
      <c r="X3" s="110"/>
      <c r="Y3" s="110"/>
      <c r="Z3" s="110"/>
      <c r="AA3" s="110"/>
      <c r="AB3" s="110"/>
      <c r="AC3" s="110"/>
      <c r="AD3" s="111"/>
    </row>
    <row r="4" spans="1:30" ht="15.6" x14ac:dyDescent="0.3">
      <c r="A4" s="98"/>
      <c r="B4" s="98"/>
      <c r="C4" s="98"/>
      <c r="D4" s="98"/>
      <c r="E4" s="98"/>
      <c r="F4" s="109" t="s">
        <v>6</v>
      </c>
      <c r="G4" s="110"/>
      <c r="H4" s="111"/>
      <c r="I4" s="109" t="s">
        <v>10</v>
      </c>
      <c r="J4" s="110"/>
      <c r="K4" s="111"/>
      <c r="L4" s="109" t="s">
        <v>269</v>
      </c>
      <c r="M4" s="110"/>
      <c r="N4" s="111"/>
      <c r="O4" s="109" t="s">
        <v>11</v>
      </c>
      <c r="P4" s="110"/>
      <c r="Q4" s="111"/>
      <c r="R4" s="122"/>
      <c r="S4" s="109" t="s">
        <v>6</v>
      </c>
      <c r="T4" s="110"/>
      <c r="U4" s="111"/>
      <c r="V4" s="109" t="s">
        <v>10</v>
      </c>
      <c r="W4" s="110"/>
      <c r="X4" s="111"/>
      <c r="Y4" s="109" t="s">
        <v>269</v>
      </c>
      <c r="Z4" s="110"/>
      <c r="AA4" s="111"/>
      <c r="AB4" s="109" t="s">
        <v>11</v>
      </c>
      <c r="AC4" s="110"/>
      <c r="AD4" s="111"/>
    </row>
    <row r="5" spans="1:30" ht="15.6" x14ac:dyDescent="0.3">
      <c r="A5" s="99"/>
      <c r="B5" s="99"/>
      <c r="C5" s="99"/>
      <c r="D5" s="99"/>
      <c r="E5" s="99"/>
      <c r="F5" s="46" t="s">
        <v>7</v>
      </c>
      <c r="G5" s="46" t="s">
        <v>8</v>
      </c>
      <c r="H5" s="46" t="s">
        <v>9</v>
      </c>
      <c r="I5" s="46" t="s">
        <v>7</v>
      </c>
      <c r="J5" s="46" t="s">
        <v>8</v>
      </c>
      <c r="K5" s="46" t="s">
        <v>9</v>
      </c>
      <c r="L5" s="46" t="s">
        <v>7</v>
      </c>
      <c r="M5" s="46" t="s">
        <v>8</v>
      </c>
      <c r="N5" s="46" t="s">
        <v>9</v>
      </c>
      <c r="O5" s="46" t="s">
        <v>7</v>
      </c>
      <c r="P5" s="46" t="s">
        <v>8</v>
      </c>
      <c r="Q5" s="46" t="s">
        <v>9</v>
      </c>
      <c r="R5" s="123"/>
      <c r="S5" s="46" t="s">
        <v>7</v>
      </c>
      <c r="T5" s="46" t="s">
        <v>8</v>
      </c>
      <c r="U5" s="46" t="s">
        <v>9</v>
      </c>
      <c r="V5" s="46" t="s">
        <v>7</v>
      </c>
      <c r="W5" s="46" t="s">
        <v>8</v>
      </c>
      <c r="X5" s="46" t="s">
        <v>9</v>
      </c>
      <c r="Y5" s="46" t="s">
        <v>7</v>
      </c>
      <c r="Z5" s="46" t="s">
        <v>8</v>
      </c>
      <c r="AA5" s="46" t="s">
        <v>9</v>
      </c>
      <c r="AB5" s="46" t="s">
        <v>7</v>
      </c>
      <c r="AC5" s="46" t="s">
        <v>8</v>
      </c>
      <c r="AD5" s="46" t="s">
        <v>9</v>
      </c>
    </row>
    <row r="6" spans="1:30" x14ac:dyDescent="0.3">
      <c r="A6" s="47" t="s">
        <v>159</v>
      </c>
      <c r="B6" s="48" t="s">
        <v>179</v>
      </c>
      <c r="C6" s="48" t="s">
        <v>63</v>
      </c>
      <c r="D6" s="51">
        <v>6344044482</v>
      </c>
      <c r="E6" s="7" t="s">
        <v>251</v>
      </c>
      <c r="F6" s="51">
        <v>16</v>
      </c>
      <c r="G6" s="49" t="str">
        <f t="shared" ref="G6:G35" si="0">IF(F6&gt;=40,"Distinction",IF(F6&gt;=30,"Merit",IF(F6&gt;=10,"Pass",IF(F6&gt;=0,"No Grade"))))</f>
        <v>Pass</v>
      </c>
      <c r="H6" s="3">
        <f t="shared" ref="H6:H35" si="1">F6/50</f>
        <v>0.32</v>
      </c>
      <c r="I6" s="51">
        <v>9</v>
      </c>
      <c r="J6" s="49" t="str">
        <f t="shared" ref="J6:J35" si="2">IF(I6&gt;=40,"Distinction",IF(I6&gt;=30,"Merit",IF(I6&gt;=10,"Pass",IF(I6&gt;=0,"No Grade"))))</f>
        <v>No Grade</v>
      </c>
      <c r="K6" s="3">
        <f t="shared" ref="K6:K35" si="3">I6/50</f>
        <v>0.18</v>
      </c>
      <c r="L6" s="51">
        <v>15</v>
      </c>
      <c r="M6" s="49" t="str">
        <f t="shared" ref="M6:M35" si="4">IF(L6&gt;=40,"Distinction",IF(L6&gt;=30,"Merit",IF(L6&gt;=10,"Pass",IF(L6&gt;=0,"No Grade"))))</f>
        <v>Pass</v>
      </c>
      <c r="N6" s="3">
        <f t="shared" ref="N6:N35" si="5">L6/50</f>
        <v>0.3</v>
      </c>
      <c r="O6" s="51">
        <v>22</v>
      </c>
      <c r="P6" s="49" t="str">
        <f t="shared" ref="P6:P35" si="6">IF(O6&gt;=40,"Distinction",IF(O6&gt;=30,"Merit",IF(O6&gt;=10,"Pass",IF(O6&gt;=0,"No Grade"))))</f>
        <v>Pass</v>
      </c>
      <c r="Q6" s="3">
        <f t="shared" ref="Q6:Q35" si="7">O6/50</f>
        <v>0.44</v>
      </c>
      <c r="R6" s="55">
        <f t="shared" ref="R6:R35" si="8">SUM(F6,I6,L6,O6)</f>
        <v>62</v>
      </c>
      <c r="S6" s="54">
        <v>32</v>
      </c>
      <c r="T6" s="49" t="str">
        <f t="shared" ref="T6:T35" si="9">IF(S6&gt;=40,"Distinction",IF(S6&gt;=30,"Merit",IF(S6&gt;=10,"Pass",IF(S6&gt;=0,"No Grade"))))</f>
        <v>Merit</v>
      </c>
      <c r="U6" s="4">
        <f t="shared" ref="U6:U35" si="10">S6/50</f>
        <v>0.64</v>
      </c>
      <c r="V6" s="54">
        <v>16</v>
      </c>
      <c r="W6" s="49" t="str">
        <f t="shared" ref="W6:W35" si="11">IF(V6&gt;=40,"Distinction",IF(V6&gt;=30,"Merit",IF(V6&gt;=10,"Pass",IF(V6&gt;=0,"No Grade"))))</f>
        <v>Pass</v>
      </c>
      <c r="X6" s="4">
        <f t="shared" ref="X6:X35" si="12">V6/50</f>
        <v>0.32</v>
      </c>
      <c r="Y6" s="54">
        <v>20</v>
      </c>
      <c r="Z6" s="49" t="str">
        <f t="shared" ref="Z6:Z35" si="13">IF(Y6&gt;=40,"Distinction",IF(Y6&gt;=30,"Merit",IF(Y6&gt;=10,"Pass",IF(Y6&gt;=0,"No Grade"))))</f>
        <v>Pass</v>
      </c>
      <c r="AA6" s="4">
        <f t="shared" ref="AA6:AA35" si="14">Y6/50</f>
        <v>0.4</v>
      </c>
      <c r="AB6" s="54">
        <v>36</v>
      </c>
      <c r="AC6" s="49" t="str">
        <f t="shared" ref="AC6:AC35" si="15">IF(AB6&gt;=40,"Distinction",IF(AB6&gt;=30,"Merit",IF(AB6&gt;=10,"Pass",IF(AB6&gt;=0,"No Grade"))))</f>
        <v>Merit</v>
      </c>
      <c r="AD6" s="4">
        <f t="shared" ref="AD6:AD35" si="16">AB6/50</f>
        <v>0.72</v>
      </c>
    </row>
    <row r="7" spans="1:30" x14ac:dyDescent="0.3">
      <c r="A7" s="50" t="s">
        <v>154</v>
      </c>
      <c r="B7" s="49" t="s">
        <v>174</v>
      </c>
      <c r="C7" s="49" t="s">
        <v>63</v>
      </c>
      <c r="D7" s="52">
        <v>4019476476</v>
      </c>
      <c r="E7" s="6" t="s">
        <v>249</v>
      </c>
      <c r="F7" s="52">
        <v>27</v>
      </c>
      <c r="G7" s="49" t="str">
        <f t="shared" si="0"/>
        <v>Pass</v>
      </c>
      <c r="H7" s="1">
        <f t="shared" si="1"/>
        <v>0.54</v>
      </c>
      <c r="I7" s="52">
        <v>31</v>
      </c>
      <c r="J7" s="49" t="str">
        <f t="shared" si="2"/>
        <v>Merit</v>
      </c>
      <c r="K7" s="1">
        <f t="shared" si="3"/>
        <v>0.62</v>
      </c>
      <c r="L7" s="52">
        <v>26</v>
      </c>
      <c r="M7" s="49" t="str">
        <f t="shared" si="4"/>
        <v>Pass</v>
      </c>
      <c r="N7" s="1">
        <f t="shared" si="5"/>
        <v>0.52</v>
      </c>
      <c r="O7" s="52">
        <v>17</v>
      </c>
      <c r="P7" s="49" t="str">
        <f t="shared" si="6"/>
        <v>Pass</v>
      </c>
      <c r="Q7" s="1">
        <f t="shared" si="7"/>
        <v>0.34</v>
      </c>
      <c r="R7" s="55">
        <f t="shared" si="8"/>
        <v>101</v>
      </c>
      <c r="S7" s="52">
        <v>45</v>
      </c>
      <c r="T7" s="49" t="str">
        <f t="shared" si="9"/>
        <v>Distinction</v>
      </c>
      <c r="U7" s="1">
        <f t="shared" si="10"/>
        <v>0.9</v>
      </c>
      <c r="V7" s="52">
        <v>32</v>
      </c>
      <c r="W7" s="49" t="str">
        <f t="shared" si="11"/>
        <v>Merit</v>
      </c>
      <c r="X7" s="1">
        <f t="shared" si="12"/>
        <v>0.64</v>
      </c>
      <c r="Y7" s="52">
        <v>36</v>
      </c>
      <c r="Z7" s="49" t="str">
        <f t="shared" si="13"/>
        <v>Merit</v>
      </c>
      <c r="AA7" s="1">
        <f t="shared" si="14"/>
        <v>0.72</v>
      </c>
      <c r="AB7" s="52">
        <v>19</v>
      </c>
      <c r="AC7" s="49" t="str">
        <f t="shared" si="15"/>
        <v>Pass</v>
      </c>
      <c r="AD7" s="1">
        <f t="shared" si="16"/>
        <v>0.38</v>
      </c>
    </row>
    <row r="8" spans="1:30" x14ac:dyDescent="0.3">
      <c r="A8" s="50" t="s">
        <v>150</v>
      </c>
      <c r="B8" s="49" t="s">
        <v>170</v>
      </c>
      <c r="C8" s="49" t="s">
        <v>63</v>
      </c>
      <c r="D8" s="52">
        <v>3923414780</v>
      </c>
      <c r="E8" s="6">
        <v>37566</v>
      </c>
      <c r="F8" s="52">
        <v>13</v>
      </c>
      <c r="G8" s="49" t="str">
        <f t="shared" si="0"/>
        <v>Pass</v>
      </c>
      <c r="H8" s="1">
        <f t="shared" si="1"/>
        <v>0.26</v>
      </c>
      <c r="I8" s="52">
        <v>45</v>
      </c>
      <c r="J8" s="49" t="str">
        <f t="shared" si="2"/>
        <v>Distinction</v>
      </c>
      <c r="K8" s="1">
        <f t="shared" si="3"/>
        <v>0.9</v>
      </c>
      <c r="L8" s="52">
        <v>46</v>
      </c>
      <c r="M8" s="49" t="str">
        <f t="shared" si="4"/>
        <v>Distinction</v>
      </c>
      <c r="N8" s="1">
        <f t="shared" si="5"/>
        <v>0.92</v>
      </c>
      <c r="O8" s="52">
        <v>24</v>
      </c>
      <c r="P8" s="49" t="str">
        <f t="shared" si="6"/>
        <v>Pass</v>
      </c>
      <c r="Q8" s="1">
        <f t="shared" si="7"/>
        <v>0.48</v>
      </c>
      <c r="R8" s="55">
        <f t="shared" si="8"/>
        <v>128</v>
      </c>
      <c r="S8" s="52">
        <v>35</v>
      </c>
      <c r="T8" s="49" t="str">
        <f t="shared" si="9"/>
        <v>Merit</v>
      </c>
      <c r="U8" s="1">
        <f t="shared" si="10"/>
        <v>0.7</v>
      </c>
      <c r="V8" s="52">
        <v>13</v>
      </c>
      <c r="W8" s="49" t="str">
        <f t="shared" si="11"/>
        <v>Pass</v>
      </c>
      <c r="X8" s="1">
        <f t="shared" si="12"/>
        <v>0.26</v>
      </c>
      <c r="Y8" s="52">
        <v>32</v>
      </c>
      <c r="Z8" s="49" t="str">
        <f t="shared" si="13"/>
        <v>Merit</v>
      </c>
      <c r="AA8" s="1">
        <f t="shared" si="14"/>
        <v>0.64</v>
      </c>
      <c r="AB8" s="52">
        <v>43</v>
      </c>
      <c r="AC8" s="49" t="str">
        <f t="shared" si="15"/>
        <v>Distinction</v>
      </c>
      <c r="AD8" s="1">
        <f t="shared" si="16"/>
        <v>0.86</v>
      </c>
    </row>
    <row r="9" spans="1:30" x14ac:dyDescent="0.3">
      <c r="A9" s="50" t="s">
        <v>164</v>
      </c>
      <c r="B9" s="49" t="s">
        <v>184</v>
      </c>
      <c r="C9" s="49" t="s">
        <v>63</v>
      </c>
      <c r="D9" s="52">
        <v>4556359213</v>
      </c>
      <c r="E9" s="6" t="s">
        <v>255</v>
      </c>
      <c r="F9" s="52">
        <v>38</v>
      </c>
      <c r="G9" s="49" t="str">
        <f t="shared" si="0"/>
        <v>Merit</v>
      </c>
      <c r="H9" s="1">
        <f t="shared" si="1"/>
        <v>0.76</v>
      </c>
      <c r="I9" s="52">
        <v>32</v>
      </c>
      <c r="J9" s="49" t="str">
        <f t="shared" si="2"/>
        <v>Merit</v>
      </c>
      <c r="K9" s="1">
        <f t="shared" si="3"/>
        <v>0.64</v>
      </c>
      <c r="L9" s="52">
        <v>29</v>
      </c>
      <c r="M9" s="49" t="str">
        <f t="shared" si="4"/>
        <v>Pass</v>
      </c>
      <c r="N9" s="1">
        <f t="shared" si="5"/>
        <v>0.57999999999999996</v>
      </c>
      <c r="O9" s="52">
        <v>13</v>
      </c>
      <c r="P9" s="49" t="str">
        <f t="shared" si="6"/>
        <v>Pass</v>
      </c>
      <c r="Q9" s="1">
        <f t="shared" si="7"/>
        <v>0.26</v>
      </c>
      <c r="R9" s="55">
        <f t="shared" si="8"/>
        <v>112</v>
      </c>
      <c r="S9" s="52">
        <v>14</v>
      </c>
      <c r="T9" s="49" t="str">
        <f t="shared" si="9"/>
        <v>Pass</v>
      </c>
      <c r="U9" s="1">
        <f t="shared" si="10"/>
        <v>0.28000000000000003</v>
      </c>
      <c r="V9" s="52">
        <v>50</v>
      </c>
      <c r="W9" s="49" t="str">
        <f t="shared" si="11"/>
        <v>Distinction</v>
      </c>
      <c r="X9" s="1">
        <f t="shared" si="12"/>
        <v>1</v>
      </c>
      <c r="Y9" s="52">
        <v>27</v>
      </c>
      <c r="Z9" s="49" t="str">
        <f t="shared" si="13"/>
        <v>Pass</v>
      </c>
      <c r="AA9" s="1">
        <f t="shared" si="14"/>
        <v>0.54</v>
      </c>
      <c r="AB9" s="52">
        <v>11</v>
      </c>
      <c r="AC9" s="49" t="str">
        <f t="shared" si="15"/>
        <v>Pass</v>
      </c>
      <c r="AD9" s="1">
        <f t="shared" si="16"/>
        <v>0.22</v>
      </c>
    </row>
    <row r="10" spans="1:30" x14ac:dyDescent="0.3">
      <c r="A10" s="47" t="s">
        <v>169</v>
      </c>
      <c r="B10" s="48" t="s">
        <v>189</v>
      </c>
      <c r="C10" s="48" t="s">
        <v>63</v>
      </c>
      <c r="D10" s="51">
        <v>7409224478</v>
      </c>
      <c r="E10" s="7" t="s">
        <v>258</v>
      </c>
      <c r="F10" s="51">
        <v>12</v>
      </c>
      <c r="G10" s="49" t="str">
        <f t="shared" si="0"/>
        <v>Pass</v>
      </c>
      <c r="H10" s="3">
        <f t="shared" si="1"/>
        <v>0.24</v>
      </c>
      <c r="I10" s="51">
        <v>13</v>
      </c>
      <c r="J10" s="49" t="str">
        <f t="shared" si="2"/>
        <v>Pass</v>
      </c>
      <c r="K10" s="3">
        <f t="shared" si="3"/>
        <v>0.26</v>
      </c>
      <c r="L10" s="51">
        <v>30</v>
      </c>
      <c r="M10" s="49" t="str">
        <f t="shared" si="4"/>
        <v>Merit</v>
      </c>
      <c r="N10" s="3">
        <f t="shared" si="5"/>
        <v>0.6</v>
      </c>
      <c r="O10" s="51">
        <v>6</v>
      </c>
      <c r="P10" s="49" t="str">
        <f t="shared" si="6"/>
        <v>No Grade</v>
      </c>
      <c r="Q10" s="3">
        <f t="shared" si="7"/>
        <v>0.12</v>
      </c>
      <c r="R10" s="55">
        <f t="shared" si="8"/>
        <v>61</v>
      </c>
      <c r="S10" s="54">
        <v>8</v>
      </c>
      <c r="T10" s="49" t="str">
        <f t="shared" si="9"/>
        <v>No Grade</v>
      </c>
      <c r="U10" s="4">
        <f t="shared" si="10"/>
        <v>0.16</v>
      </c>
      <c r="V10" s="54">
        <v>42</v>
      </c>
      <c r="W10" s="49" t="str">
        <f t="shared" si="11"/>
        <v>Distinction</v>
      </c>
      <c r="X10" s="4">
        <f t="shared" si="12"/>
        <v>0.84</v>
      </c>
      <c r="Y10" s="54">
        <v>27</v>
      </c>
      <c r="Z10" s="49" t="str">
        <f t="shared" si="13"/>
        <v>Pass</v>
      </c>
      <c r="AA10" s="4">
        <f t="shared" si="14"/>
        <v>0.54</v>
      </c>
      <c r="AB10" s="54">
        <v>16</v>
      </c>
      <c r="AC10" s="49" t="str">
        <f t="shared" si="15"/>
        <v>Pass</v>
      </c>
      <c r="AD10" s="4">
        <f t="shared" si="16"/>
        <v>0.32</v>
      </c>
    </row>
    <row r="11" spans="1:30" x14ac:dyDescent="0.3">
      <c r="A11" s="47" t="s">
        <v>197</v>
      </c>
      <c r="B11" s="48" t="s">
        <v>207</v>
      </c>
      <c r="C11" s="48" t="s">
        <v>63</v>
      </c>
      <c r="D11" s="51">
        <v>2266400167</v>
      </c>
      <c r="E11" s="7" t="s">
        <v>264</v>
      </c>
      <c r="F11" s="51">
        <v>19</v>
      </c>
      <c r="G11" s="49" t="str">
        <f t="shared" si="0"/>
        <v>Pass</v>
      </c>
      <c r="H11" s="3">
        <f t="shared" si="1"/>
        <v>0.38</v>
      </c>
      <c r="I11" s="51">
        <v>28</v>
      </c>
      <c r="J11" s="49" t="str">
        <f t="shared" si="2"/>
        <v>Pass</v>
      </c>
      <c r="K11" s="3">
        <f t="shared" si="3"/>
        <v>0.56000000000000005</v>
      </c>
      <c r="L11" s="51">
        <v>3</v>
      </c>
      <c r="M11" s="49" t="str">
        <f t="shared" si="4"/>
        <v>No Grade</v>
      </c>
      <c r="N11" s="3">
        <f t="shared" si="5"/>
        <v>0.06</v>
      </c>
      <c r="O11" s="51">
        <v>32</v>
      </c>
      <c r="P11" s="49" t="str">
        <f t="shared" si="6"/>
        <v>Merit</v>
      </c>
      <c r="Q11" s="3">
        <f t="shared" si="7"/>
        <v>0.64</v>
      </c>
      <c r="R11" s="55">
        <f t="shared" si="8"/>
        <v>82</v>
      </c>
      <c r="S11" s="54">
        <v>3</v>
      </c>
      <c r="T11" s="49" t="str">
        <f t="shared" si="9"/>
        <v>No Grade</v>
      </c>
      <c r="U11" s="4">
        <f t="shared" si="10"/>
        <v>0.06</v>
      </c>
      <c r="V11" s="54">
        <v>34</v>
      </c>
      <c r="W11" s="49" t="str">
        <f t="shared" si="11"/>
        <v>Merit</v>
      </c>
      <c r="X11" s="4">
        <f t="shared" si="12"/>
        <v>0.68</v>
      </c>
      <c r="Y11" s="54">
        <v>34</v>
      </c>
      <c r="Z11" s="49" t="str">
        <f t="shared" si="13"/>
        <v>Merit</v>
      </c>
      <c r="AA11" s="4">
        <f t="shared" si="14"/>
        <v>0.68</v>
      </c>
      <c r="AB11" s="54">
        <v>42</v>
      </c>
      <c r="AC11" s="49" t="str">
        <f t="shared" si="15"/>
        <v>Distinction</v>
      </c>
      <c r="AD11" s="4">
        <f t="shared" si="16"/>
        <v>0.84</v>
      </c>
    </row>
    <row r="12" spans="1:30" x14ac:dyDescent="0.3">
      <c r="A12" s="50" t="s">
        <v>198</v>
      </c>
      <c r="B12" s="49" t="s">
        <v>208</v>
      </c>
      <c r="C12" s="49" t="s">
        <v>63</v>
      </c>
      <c r="D12" s="52">
        <v>634292900</v>
      </c>
      <c r="E12" s="6" t="s">
        <v>265</v>
      </c>
      <c r="F12" s="52">
        <v>4</v>
      </c>
      <c r="G12" s="49" t="str">
        <f t="shared" si="0"/>
        <v>No Grade</v>
      </c>
      <c r="H12" s="1">
        <f t="shared" si="1"/>
        <v>0.08</v>
      </c>
      <c r="I12" s="52">
        <v>30</v>
      </c>
      <c r="J12" s="49" t="str">
        <f t="shared" si="2"/>
        <v>Merit</v>
      </c>
      <c r="K12" s="1">
        <f t="shared" si="3"/>
        <v>0.6</v>
      </c>
      <c r="L12" s="52">
        <v>20</v>
      </c>
      <c r="M12" s="49" t="str">
        <f t="shared" si="4"/>
        <v>Pass</v>
      </c>
      <c r="N12" s="1">
        <f t="shared" si="5"/>
        <v>0.4</v>
      </c>
      <c r="O12" s="52">
        <v>47</v>
      </c>
      <c r="P12" s="49" t="str">
        <f t="shared" si="6"/>
        <v>Distinction</v>
      </c>
      <c r="Q12" s="1">
        <f t="shared" si="7"/>
        <v>0.94</v>
      </c>
      <c r="R12" s="55">
        <f t="shared" si="8"/>
        <v>101</v>
      </c>
      <c r="S12" s="52">
        <v>32</v>
      </c>
      <c r="T12" s="49" t="str">
        <f t="shared" si="9"/>
        <v>Merit</v>
      </c>
      <c r="U12" s="1">
        <f t="shared" si="10"/>
        <v>0.64</v>
      </c>
      <c r="V12" s="52">
        <v>18</v>
      </c>
      <c r="W12" s="49" t="str">
        <f t="shared" si="11"/>
        <v>Pass</v>
      </c>
      <c r="X12" s="1">
        <f t="shared" si="12"/>
        <v>0.36</v>
      </c>
      <c r="Y12" s="52">
        <v>25</v>
      </c>
      <c r="Z12" s="49" t="str">
        <f t="shared" si="13"/>
        <v>Pass</v>
      </c>
      <c r="AA12" s="1">
        <f t="shared" si="14"/>
        <v>0.5</v>
      </c>
      <c r="AB12" s="52">
        <v>14</v>
      </c>
      <c r="AC12" s="49" t="str">
        <f t="shared" si="15"/>
        <v>Pass</v>
      </c>
      <c r="AD12" s="1">
        <f t="shared" si="16"/>
        <v>0.28000000000000003</v>
      </c>
    </row>
    <row r="13" spans="1:30" x14ac:dyDescent="0.3">
      <c r="A13" s="47" t="s">
        <v>193</v>
      </c>
      <c r="B13" s="48" t="s">
        <v>203</v>
      </c>
      <c r="C13" s="48" t="s">
        <v>63</v>
      </c>
      <c r="D13" s="51">
        <v>7596863575</v>
      </c>
      <c r="E13" s="7">
        <v>36930</v>
      </c>
      <c r="F13" s="51">
        <v>13</v>
      </c>
      <c r="G13" s="49" t="str">
        <f t="shared" si="0"/>
        <v>Pass</v>
      </c>
      <c r="H13" s="3">
        <f t="shared" si="1"/>
        <v>0.26</v>
      </c>
      <c r="I13" s="51">
        <v>46</v>
      </c>
      <c r="J13" s="49" t="str">
        <f t="shared" si="2"/>
        <v>Distinction</v>
      </c>
      <c r="K13" s="3">
        <f t="shared" si="3"/>
        <v>0.92</v>
      </c>
      <c r="L13" s="51">
        <v>38</v>
      </c>
      <c r="M13" s="49" t="str">
        <f t="shared" si="4"/>
        <v>Merit</v>
      </c>
      <c r="N13" s="3">
        <f t="shared" si="5"/>
        <v>0.76</v>
      </c>
      <c r="O13" s="51">
        <v>19</v>
      </c>
      <c r="P13" s="49" t="str">
        <f t="shared" si="6"/>
        <v>Pass</v>
      </c>
      <c r="Q13" s="3">
        <f t="shared" si="7"/>
        <v>0.38</v>
      </c>
      <c r="R13" s="55">
        <f t="shared" si="8"/>
        <v>116</v>
      </c>
      <c r="S13" s="54">
        <v>29</v>
      </c>
      <c r="T13" s="49" t="str">
        <f t="shared" si="9"/>
        <v>Pass</v>
      </c>
      <c r="U13" s="4">
        <f t="shared" si="10"/>
        <v>0.57999999999999996</v>
      </c>
      <c r="V13" s="54">
        <v>4</v>
      </c>
      <c r="W13" s="49" t="str">
        <f t="shared" si="11"/>
        <v>No Grade</v>
      </c>
      <c r="X13" s="4">
        <f t="shared" si="12"/>
        <v>0.08</v>
      </c>
      <c r="Y13" s="54">
        <v>6</v>
      </c>
      <c r="Z13" s="49" t="str">
        <f t="shared" si="13"/>
        <v>No Grade</v>
      </c>
      <c r="AA13" s="4">
        <f t="shared" si="14"/>
        <v>0.12</v>
      </c>
      <c r="AB13" s="54">
        <v>1</v>
      </c>
      <c r="AC13" s="49" t="str">
        <f t="shared" si="15"/>
        <v>No Grade</v>
      </c>
      <c r="AD13" s="4">
        <f t="shared" si="16"/>
        <v>0.02</v>
      </c>
    </row>
    <row r="14" spans="1:30" x14ac:dyDescent="0.3">
      <c r="A14" s="47" t="s">
        <v>167</v>
      </c>
      <c r="B14" s="48" t="s">
        <v>187</v>
      </c>
      <c r="C14" s="48" t="s">
        <v>63</v>
      </c>
      <c r="D14" s="51">
        <v>3592672916</v>
      </c>
      <c r="E14" s="7" t="s">
        <v>257</v>
      </c>
      <c r="F14" s="51">
        <v>3</v>
      </c>
      <c r="G14" s="49" t="str">
        <f t="shared" si="0"/>
        <v>No Grade</v>
      </c>
      <c r="H14" s="3">
        <f t="shared" si="1"/>
        <v>0.06</v>
      </c>
      <c r="I14" s="51">
        <v>32</v>
      </c>
      <c r="J14" s="49" t="str">
        <f t="shared" si="2"/>
        <v>Merit</v>
      </c>
      <c r="K14" s="3">
        <f t="shared" si="3"/>
        <v>0.64</v>
      </c>
      <c r="L14" s="51">
        <v>45</v>
      </c>
      <c r="M14" s="49" t="str">
        <f t="shared" si="4"/>
        <v>Distinction</v>
      </c>
      <c r="N14" s="3">
        <f t="shared" si="5"/>
        <v>0.9</v>
      </c>
      <c r="O14" s="51">
        <v>25</v>
      </c>
      <c r="P14" s="49" t="str">
        <f t="shared" si="6"/>
        <v>Pass</v>
      </c>
      <c r="Q14" s="3">
        <f t="shared" si="7"/>
        <v>0.5</v>
      </c>
      <c r="R14" s="55">
        <f t="shared" si="8"/>
        <v>105</v>
      </c>
      <c r="S14" s="54">
        <v>1</v>
      </c>
      <c r="T14" s="49" t="str">
        <f t="shared" si="9"/>
        <v>No Grade</v>
      </c>
      <c r="U14" s="4">
        <f t="shared" si="10"/>
        <v>0.02</v>
      </c>
      <c r="V14" s="54">
        <v>22</v>
      </c>
      <c r="W14" s="49" t="str">
        <f t="shared" si="11"/>
        <v>Pass</v>
      </c>
      <c r="X14" s="4">
        <f t="shared" si="12"/>
        <v>0.44</v>
      </c>
      <c r="Y14" s="54">
        <v>9</v>
      </c>
      <c r="Z14" s="49" t="str">
        <f t="shared" si="13"/>
        <v>No Grade</v>
      </c>
      <c r="AA14" s="4">
        <f t="shared" si="14"/>
        <v>0.18</v>
      </c>
      <c r="AB14" s="54">
        <v>24</v>
      </c>
      <c r="AC14" s="49" t="str">
        <f t="shared" si="15"/>
        <v>Pass</v>
      </c>
      <c r="AD14" s="4">
        <f t="shared" si="16"/>
        <v>0.48</v>
      </c>
    </row>
    <row r="15" spans="1:30" x14ac:dyDescent="0.3">
      <c r="A15" s="47" t="s">
        <v>153</v>
      </c>
      <c r="B15" s="48" t="s">
        <v>173</v>
      </c>
      <c r="C15" s="48" t="s">
        <v>64</v>
      </c>
      <c r="D15" s="53">
        <v>5670093501</v>
      </c>
      <c r="E15" s="7" t="s">
        <v>248</v>
      </c>
      <c r="F15" s="53">
        <v>50</v>
      </c>
      <c r="G15" s="49" t="str">
        <f t="shared" si="0"/>
        <v>Distinction</v>
      </c>
      <c r="H15" s="3">
        <f t="shared" si="1"/>
        <v>1</v>
      </c>
      <c r="I15" s="53">
        <v>50</v>
      </c>
      <c r="J15" s="49" t="str">
        <f t="shared" si="2"/>
        <v>Distinction</v>
      </c>
      <c r="K15" s="3">
        <f t="shared" si="3"/>
        <v>1</v>
      </c>
      <c r="L15" s="53">
        <v>50</v>
      </c>
      <c r="M15" s="49" t="str">
        <f t="shared" si="4"/>
        <v>Distinction</v>
      </c>
      <c r="N15" s="3">
        <f t="shared" si="5"/>
        <v>1</v>
      </c>
      <c r="O15" s="53">
        <v>50</v>
      </c>
      <c r="P15" s="49" t="str">
        <f t="shared" si="6"/>
        <v>Distinction</v>
      </c>
      <c r="Q15" s="3">
        <f t="shared" si="7"/>
        <v>1</v>
      </c>
      <c r="R15" s="55">
        <f t="shared" si="8"/>
        <v>200</v>
      </c>
      <c r="S15" s="54">
        <v>50</v>
      </c>
      <c r="T15" s="49" t="str">
        <f t="shared" si="9"/>
        <v>Distinction</v>
      </c>
      <c r="U15" s="4">
        <f t="shared" si="10"/>
        <v>1</v>
      </c>
      <c r="V15" s="54">
        <v>50</v>
      </c>
      <c r="W15" s="49" t="str">
        <f t="shared" si="11"/>
        <v>Distinction</v>
      </c>
      <c r="X15" s="4">
        <f t="shared" si="12"/>
        <v>1</v>
      </c>
      <c r="Y15" s="54">
        <v>50</v>
      </c>
      <c r="Z15" s="49" t="str">
        <f t="shared" si="13"/>
        <v>Distinction</v>
      </c>
      <c r="AA15" s="4">
        <f t="shared" si="14"/>
        <v>1</v>
      </c>
      <c r="AB15" s="54">
        <v>50</v>
      </c>
      <c r="AC15" s="49" t="str">
        <f t="shared" si="15"/>
        <v>Distinction</v>
      </c>
      <c r="AD15" s="4">
        <f t="shared" si="16"/>
        <v>1</v>
      </c>
    </row>
    <row r="16" spans="1:30" x14ac:dyDescent="0.3">
      <c r="A16" s="50" t="s">
        <v>194</v>
      </c>
      <c r="B16" s="49" t="s">
        <v>204</v>
      </c>
      <c r="C16" s="49" t="s">
        <v>63</v>
      </c>
      <c r="D16" s="52">
        <v>5357531736</v>
      </c>
      <c r="E16" s="6" t="s">
        <v>262</v>
      </c>
      <c r="F16" s="52">
        <v>20</v>
      </c>
      <c r="G16" s="49" t="str">
        <f t="shared" si="0"/>
        <v>Pass</v>
      </c>
      <c r="H16" s="1">
        <f t="shared" si="1"/>
        <v>0.4</v>
      </c>
      <c r="I16" s="52">
        <v>29</v>
      </c>
      <c r="J16" s="49" t="str">
        <f t="shared" si="2"/>
        <v>Pass</v>
      </c>
      <c r="K16" s="1">
        <f t="shared" si="3"/>
        <v>0.57999999999999996</v>
      </c>
      <c r="L16" s="52">
        <v>9</v>
      </c>
      <c r="M16" s="49" t="str">
        <f t="shared" si="4"/>
        <v>No Grade</v>
      </c>
      <c r="N16" s="1">
        <f t="shared" si="5"/>
        <v>0.18</v>
      </c>
      <c r="O16" s="52">
        <v>26</v>
      </c>
      <c r="P16" s="49" t="str">
        <f t="shared" si="6"/>
        <v>Pass</v>
      </c>
      <c r="Q16" s="1">
        <f t="shared" si="7"/>
        <v>0.52</v>
      </c>
      <c r="R16" s="55">
        <f t="shared" si="8"/>
        <v>84</v>
      </c>
      <c r="S16" s="52">
        <v>30</v>
      </c>
      <c r="T16" s="49" t="str">
        <f t="shared" si="9"/>
        <v>Merit</v>
      </c>
      <c r="U16" s="1">
        <f t="shared" si="10"/>
        <v>0.6</v>
      </c>
      <c r="V16" s="52">
        <v>38</v>
      </c>
      <c r="W16" s="49" t="str">
        <f t="shared" si="11"/>
        <v>Merit</v>
      </c>
      <c r="X16" s="1">
        <f t="shared" si="12"/>
        <v>0.76</v>
      </c>
      <c r="Y16" s="52">
        <v>22</v>
      </c>
      <c r="Z16" s="49" t="str">
        <f t="shared" si="13"/>
        <v>Pass</v>
      </c>
      <c r="AA16" s="1">
        <f t="shared" si="14"/>
        <v>0.44</v>
      </c>
      <c r="AB16" s="52">
        <v>8</v>
      </c>
      <c r="AC16" s="49" t="str">
        <f t="shared" si="15"/>
        <v>No Grade</v>
      </c>
      <c r="AD16" s="1">
        <f t="shared" si="16"/>
        <v>0.16</v>
      </c>
    </row>
    <row r="17" spans="1:30" x14ac:dyDescent="0.3">
      <c r="A17" s="50" t="s">
        <v>192</v>
      </c>
      <c r="B17" s="49" t="s">
        <v>202</v>
      </c>
      <c r="C17" s="49" t="s">
        <v>63</v>
      </c>
      <c r="D17" s="52">
        <v>5801420559</v>
      </c>
      <c r="E17" s="6" t="s">
        <v>261</v>
      </c>
      <c r="F17" s="52">
        <v>18</v>
      </c>
      <c r="G17" s="49" t="str">
        <f t="shared" si="0"/>
        <v>Pass</v>
      </c>
      <c r="H17" s="1">
        <f t="shared" si="1"/>
        <v>0.36</v>
      </c>
      <c r="I17" s="52">
        <v>9</v>
      </c>
      <c r="J17" s="49" t="str">
        <f t="shared" si="2"/>
        <v>No Grade</v>
      </c>
      <c r="K17" s="1">
        <f t="shared" si="3"/>
        <v>0.18</v>
      </c>
      <c r="L17" s="52">
        <v>36</v>
      </c>
      <c r="M17" s="49" t="str">
        <f t="shared" si="4"/>
        <v>Merit</v>
      </c>
      <c r="N17" s="1">
        <f t="shared" si="5"/>
        <v>0.72</v>
      </c>
      <c r="O17" s="52">
        <v>46</v>
      </c>
      <c r="P17" s="49" t="str">
        <f t="shared" si="6"/>
        <v>Distinction</v>
      </c>
      <c r="Q17" s="1">
        <f t="shared" si="7"/>
        <v>0.92</v>
      </c>
      <c r="R17" s="55">
        <f t="shared" si="8"/>
        <v>109</v>
      </c>
      <c r="S17" s="52">
        <v>33</v>
      </c>
      <c r="T17" s="49" t="str">
        <f t="shared" si="9"/>
        <v>Merit</v>
      </c>
      <c r="U17" s="1">
        <f t="shared" si="10"/>
        <v>0.66</v>
      </c>
      <c r="V17" s="52">
        <v>12</v>
      </c>
      <c r="W17" s="49" t="str">
        <f t="shared" si="11"/>
        <v>Pass</v>
      </c>
      <c r="X17" s="1">
        <f t="shared" si="12"/>
        <v>0.24</v>
      </c>
      <c r="Y17" s="52">
        <v>10</v>
      </c>
      <c r="Z17" s="49" t="str">
        <f t="shared" si="13"/>
        <v>Pass</v>
      </c>
      <c r="AA17" s="1">
        <f t="shared" si="14"/>
        <v>0.2</v>
      </c>
      <c r="AB17" s="52">
        <v>9</v>
      </c>
      <c r="AC17" s="49" t="str">
        <f t="shared" si="15"/>
        <v>No Grade</v>
      </c>
      <c r="AD17" s="1">
        <f t="shared" si="16"/>
        <v>0.18</v>
      </c>
    </row>
    <row r="18" spans="1:30" x14ac:dyDescent="0.3">
      <c r="A18" s="50" t="s">
        <v>156</v>
      </c>
      <c r="B18" s="49" t="s">
        <v>176</v>
      </c>
      <c r="C18" s="49" t="s">
        <v>63</v>
      </c>
      <c r="D18" s="52">
        <v>2889948130</v>
      </c>
      <c r="E18" s="6">
        <v>37228</v>
      </c>
      <c r="F18" s="52">
        <v>17</v>
      </c>
      <c r="G18" s="49" t="str">
        <f t="shared" si="0"/>
        <v>Pass</v>
      </c>
      <c r="H18" s="1">
        <f t="shared" si="1"/>
        <v>0.34</v>
      </c>
      <c r="I18" s="52">
        <v>35</v>
      </c>
      <c r="J18" s="49" t="str">
        <f t="shared" si="2"/>
        <v>Merit</v>
      </c>
      <c r="K18" s="1">
        <f t="shared" si="3"/>
        <v>0.7</v>
      </c>
      <c r="L18" s="52">
        <v>21</v>
      </c>
      <c r="M18" s="49" t="str">
        <f t="shared" si="4"/>
        <v>Pass</v>
      </c>
      <c r="N18" s="1">
        <f t="shared" si="5"/>
        <v>0.42</v>
      </c>
      <c r="O18" s="52">
        <v>46</v>
      </c>
      <c r="P18" s="49" t="str">
        <f t="shared" si="6"/>
        <v>Distinction</v>
      </c>
      <c r="Q18" s="1">
        <f t="shared" si="7"/>
        <v>0.92</v>
      </c>
      <c r="R18" s="55">
        <f t="shared" si="8"/>
        <v>119</v>
      </c>
      <c r="S18" s="52">
        <v>17</v>
      </c>
      <c r="T18" s="49" t="str">
        <f t="shared" si="9"/>
        <v>Pass</v>
      </c>
      <c r="U18" s="1">
        <f t="shared" si="10"/>
        <v>0.34</v>
      </c>
      <c r="V18" s="52">
        <v>20</v>
      </c>
      <c r="W18" s="49" t="str">
        <f t="shared" si="11"/>
        <v>Pass</v>
      </c>
      <c r="X18" s="1">
        <f t="shared" si="12"/>
        <v>0.4</v>
      </c>
      <c r="Y18" s="52">
        <v>2</v>
      </c>
      <c r="Z18" s="49" t="str">
        <f t="shared" si="13"/>
        <v>No Grade</v>
      </c>
      <c r="AA18" s="1">
        <f t="shared" si="14"/>
        <v>0.04</v>
      </c>
      <c r="AB18" s="52">
        <v>4</v>
      </c>
      <c r="AC18" s="49" t="str">
        <f t="shared" si="15"/>
        <v>No Grade</v>
      </c>
      <c r="AD18" s="1">
        <f t="shared" si="16"/>
        <v>0.08</v>
      </c>
    </row>
    <row r="19" spans="1:30" x14ac:dyDescent="0.3">
      <c r="A19" s="47" t="s">
        <v>199</v>
      </c>
      <c r="B19" s="48" t="s">
        <v>209</v>
      </c>
      <c r="C19" s="48" t="s">
        <v>63</v>
      </c>
      <c r="D19" s="51">
        <v>5608472192</v>
      </c>
      <c r="E19" s="7" t="s">
        <v>266</v>
      </c>
      <c r="F19" s="51">
        <v>25</v>
      </c>
      <c r="G19" s="49" t="str">
        <f t="shared" si="0"/>
        <v>Pass</v>
      </c>
      <c r="H19" s="3">
        <f t="shared" si="1"/>
        <v>0.5</v>
      </c>
      <c r="I19" s="51">
        <v>31</v>
      </c>
      <c r="J19" s="49" t="str">
        <f t="shared" si="2"/>
        <v>Merit</v>
      </c>
      <c r="K19" s="3">
        <f t="shared" si="3"/>
        <v>0.62</v>
      </c>
      <c r="L19" s="51">
        <v>30</v>
      </c>
      <c r="M19" s="49" t="str">
        <f t="shared" si="4"/>
        <v>Merit</v>
      </c>
      <c r="N19" s="3">
        <f t="shared" si="5"/>
        <v>0.6</v>
      </c>
      <c r="O19" s="51">
        <v>47</v>
      </c>
      <c r="P19" s="49" t="str">
        <f t="shared" si="6"/>
        <v>Distinction</v>
      </c>
      <c r="Q19" s="3">
        <f t="shared" si="7"/>
        <v>0.94</v>
      </c>
      <c r="R19" s="55">
        <f t="shared" si="8"/>
        <v>133</v>
      </c>
      <c r="S19" s="54">
        <v>28</v>
      </c>
      <c r="T19" s="49" t="str">
        <f t="shared" si="9"/>
        <v>Pass</v>
      </c>
      <c r="U19" s="4">
        <f t="shared" si="10"/>
        <v>0.56000000000000005</v>
      </c>
      <c r="V19" s="54">
        <v>11</v>
      </c>
      <c r="W19" s="49" t="str">
        <f t="shared" si="11"/>
        <v>Pass</v>
      </c>
      <c r="X19" s="4">
        <f t="shared" si="12"/>
        <v>0.22</v>
      </c>
      <c r="Y19" s="54">
        <v>30</v>
      </c>
      <c r="Z19" s="49" t="str">
        <f t="shared" si="13"/>
        <v>Merit</v>
      </c>
      <c r="AA19" s="4">
        <f t="shared" si="14"/>
        <v>0.6</v>
      </c>
      <c r="AB19" s="54">
        <v>21</v>
      </c>
      <c r="AC19" s="49" t="str">
        <f t="shared" si="15"/>
        <v>Pass</v>
      </c>
      <c r="AD19" s="4">
        <f t="shared" si="16"/>
        <v>0.42</v>
      </c>
    </row>
    <row r="20" spans="1:30" x14ac:dyDescent="0.3">
      <c r="A20" s="47" t="s">
        <v>155</v>
      </c>
      <c r="B20" s="48" t="s">
        <v>175</v>
      </c>
      <c r="C20" s="48" t="s">
        <v>64</v>
      </c>
      <c r="D20" s="53">
        <v>5365892631</v>
      </c>
      <c r="E20" s="7">
        <v>37054</v>
      </c>
      <c r="F20" s="53">
        <v>11</v>
      </c>
      <c r="G20" s="49" t="str">
        <f t="shared" si="0"/>
        <v>Pass</v>
      </c>
      <c r="H20" s="3">
        <f t="shared" si="1"/>
        <v>0.22</v>
      </c>
      <c r="I20" s="53">
        <v>34</v>
      </c>
      <c r="J20" s="49" t="str">
        <f t="shared" si="2"/>
        <v>Merit</v>
      </c>
      <c r="K20" s="3">
        <f t="shared" si="3"/>
        <v>0.68</v>
      </c>
      <c r="L20" s="53">
        <v>6</v>
      </c>
      <c r="M20" s="49" t="str">
        <f t="shared" si="4"/>
        <v>No Grade</v>
      </c>
      <c r="N20" s="3">
        <f t="shared" si="5"/>
        <v>0.12</v>
      </c>
      <c r="O20" s="53">
        <v>16</v>
      </c>
      <c r="P20" s="49" t="str">
        <f t="shared" si="6"/>
        <v>Pass</v>
      </c>
      <c r="Q20" s="3">
        <f t="shared" si="7"/>
        <v>0.32</v>
      </c>
      <c r="R20" s="55">
        <f t="shared" si="8"/>
        <v>67</v>
      </c>
      <c r="S20" s="54">
        <v>50</v>
      </c>
      <c r="T20" s="49" t="str">
        <f t="shared" si="9"/>
        <v>Distinction</v>
      </c>
      <c r="U20" s="4">
        <f t="shared" si="10"/>
        <v>1</v>
      </c>
      <c r="V20" s="54">
        <v>7</v>
      </c>
      <c r="W20" s="49" t="str">
        <f t="shared" si="11"/>
        <v>No Grade</v>
      </c>
      <c r="X20" s="4">
        <f t="shared" si="12"/>
        <v>0.14000000000000001</v>
      </c>
      <c r="Y20" s="54">
        <v>37</v>
      </c>
      <c r="Z20" s="49" t="str">
        <f t="shared" si="13"/>
        <v>Merit</v>
      </c>
      <c r="AA20" s="4">
        <f t="shared" si="14"/>
        <v>0.74</v>
      </c>
      <c r="AB20" s="54">
        <v>11</v>
      </c>
      <c r="AC20" s="49" t="str">
        <f t="shared" si="15"/>
        <v>Pass</v>
      </c>
      <c r="AD20" s="4">
        <f t="shared" si="16"/>
        <v>0.22</v>
      </c>
    </row>
    <row r="21" spans="1:30" x14ac:dyDescent="0.3">
      <c r="A21" s="50" t="s">
        <v>196</v>
      </c>
      <c r="B21" s="49" t="s">
        <v>206</v>
      </c>
      <c r="C21" s="49" t="s">
        <v>64</v>
      </c>
      <c r="D21" s="52">
        <v>9992765784</v>
      </c>
      <c r="E21" s="6" t="s">
        <v>77</v>
      </c>
      <c r="F21" s="52">
        <v>41</v>
      </c>
      <c r="G21" s="49" t="str">
        <f t="shared" si="0"/>
        <v>Distinction</v>
      </c>
      <c r="H21" s="1">
        <f t="shared" si="1"/>
        <v>0.82</v>
      </c>
      <c r="I21" s="52">
        <v>25</v>
      </c>
      <c r="J21" s="49" t="str">
        <f t="shared" si="2"/>
        <v>Pass</v>
      </c>
      <c r="K21" s="1">
        <f t="shared" si="3"/>
        <v>0.5</v>
      </c>
      <c r="L21" s="52">
        <v>8</v>
      </c>
      <c r="M21" s="49" t="str">
        <f t="shared" si="4"/>
        <v>No Grade</v>
      </c>
      <c r="N21" s="1">
        <f t="shared" si="5"/>
        <v>0.16</v>
      </c>
      <c r="O21" s="52">
        <v>40</v>
      </c>
      <c r="P21" s="49" t="str">
        <f t="shared" si="6"/>
        <v>Distinction</v>
      </c>
      <c r="Q21" s="1">
        <f t="shared" si="7"/>
        <v>0.8</v>
      </c>
      <c r="R21" s="55">
        <f t="shared" si="8"/>
        <v>114</v>
      </c>
      <c r="S21" s="52">
        <v>18</v>
      </c>
      <c r="T21" s="49" t="str">
        <f t="shared" si="9"/>
        <v>Pass</v>
      </c>
      <c r="U21" s="1">
        <f t="shared" si="10"/>
        <v>0.36</v>
      </c>
      <c r="V21" s="52">
        <v>11</v>
      </c>
      <c r="W21" s="49" t="str">
        <f t="shared" si="11"/>
        <v>Pass</v>
      </c>
      <c r="X21" s="1">
        <f t="shared" si="12"/>
        <v>0.22</v>
      </c>
      <c r="Y21" s="52">
        <v>21</v>
      </c>
      <c r="Z21" s="49" t="str">
        <f t="shared" si="13"/>
        <v>Pass</v>
      </c>
      <c r="AA21" s="1">
        <f t="shared" si="14"/>
        <v>0.42</v>
      </c>
      <c r="AB21" s="52">
        <v>42</v>
      </c>
      <c r="AC21" s="49" t="str">
        <f t="shared" si="15"/>
        <v>Distinction</v>
      </c>
      <c r="AD21" s="1">
        <f t="shared" si="16"/>
        <v>0.84</v>
      </c>
    </row>
    <row r="22" spans="1:30" x14ac:dyDescent="0.3">
      <c r="A22" s="47" t="s">
        <v>151</v>
      </c>
      <c r="B22" s="48" t="s">
        <v>171</v>
      </c>
      <c r="C22" s="48" t="s">
        <v>64</v>
      </c>
      <c r="D22" s="53">
        <v>5692489916</v>
      </c>
      <c r="E22" s="7" t="s">
        <v>78</v>
      </c>
      <c r="F22" s="53">
        <v>23</v>
      </c>
      <c r="G22" s="49" t="str">
        <f t="shared" si="0"/>
        <v>Pass</v>
      </c>
      <c r="H22" s="3">
        <f t="shared" si="1"/>
        <v>0.46</v>
      </c>
      <c r="I22" s="53">
        <v>39</v>
      </c>
      <c r="J22" s="49" t="str">
        <f t="shared" si="2"/>
        <v>Merit</v>
      </c>
      <c r="K22" s="3">
        <f t="shared" si="3"/>
        <v>0.78</v>
      </c>
      <c r="L22" s="53">
        <v>18</v>
      </c>
      <c r="M22" s="49" t="str">
        <f t="shared" si="4"/>
        <v>Pass</v>
      </c>
      <c r="N22" s="3">
        <f t="shared" si="5"/>
        <v>0.36</v>
      </c>
      <c r="O22" s="53">
        <v>26</v>
      </c>
      <c r="P22" s="49" t="str">
        <f t="shared" si="6"/>
        <v>Pass</v>
      </c>
      <c r="Q22" s="3">
        <f t="shared" si="7"/>
        <v>0.52</v>
      </c>
      <c r="R22" s="55">
        <f t="shared" si="8"/>
        <v>106</v>
      </c>
      <c r="S22" s="54">
        <v>48</v>
      </c>
      <c r="T22" s="49" t="str">
        <f t="shared" si="9"/>
        <v>Distinction</v>
      </c>
      <c r="U22" s="4">
        <f t="shared" si="10"/>
        <v>0.96</v>
      </c>
      <c r="V22" s="54">
        <v>10</v>
      </c>
      <c r="W22" s="49" t="str">
        <f t="shared" si="11"/>
        <v>Pass</v>
      </c>
      <c r="X22" s="4">
        <f t="shared" si="12"/>
        <v>0.2</v>
      </c>
      <c r="Y22" s="54">
        <v>33</v>
      </c>
      <c r="Z22" s="49" t="str">
        <f t="shared" si="13"/>
        <v>Merit</v>
      </c>
      <c r="AA22" s="4">
        <f t="shared" si="14"/>
        <v>0.66</v>
      </c>
      <c r="AB22" s="54">
        <v>18</v>
      </c>
      <c r="AC22" s="49" t="str">
        <f t="shared" si="15"/>
        <v>Pass</v>
      </c>
      <c r="AD22" s="4">
        <f t="shared" si="16"/>
        <v>0.36</v>
      </c>
    </row>
    <row r="23" spans="1:30" x14ac:dyDescent="0.3">
      <c r="A23" s="47" t="s">
        <v>195</v>
      </c>
      <c r="B23" s="48" t="s">
        <v>205</v>
      </c>
      <c r="C23" s="48" t="s">
        <v>63</v>
      </c>
      <c r="D23" s="51">
        <v>7520221078</v>
      </c>
      <c r="E23" s="7" t="s">
        <v>263</v>
      </c>
      <c r="F23" s="51">
        <v>20</v>
      </c>
      <c r="G23" s="49" t="str">
        <f t="shared" si="0"/>
        <v>Pass</v>
      </c>
      <c r="H23" s="3">
        <f t="shared" si="1"/>
        <v>0.4</v>
      </c>
      <c r="I23" s="51">
        <v>34</v>
      </c>
      <c r="J23" s="49" t="str">
        <f t="shared" si="2"/>
        <v>Merit</v>
      </c>
      <c r="K23" s="3">
        <f t="shared" si="3"/>
        <v>0.68</v>
      </c>
      <c r="L23" s="51">
        <v>24</v>
      </c>
      <c r="M23" s="49" t="str">
        <f t="shared" si="4"/>
        <v>Pass</v>
      </c>
      <c r="N23" s="3">
        <f t="shared" si="5"/>
        <v>0.48</v>
      </c>
      <c r="O23" s="51">
        <v>17</v>
      </c>
      <c r="P23" s="49" t="str">
        <f t="shared" si="6"/>
        <v>Pass</v>
      </c>
      <c r="Q23" s="3">
        <f t="shared" si="7"/>
        <v>0.34</v>
      </c>
      <c r="R23" s="55">
        <f t="shared" si="8"/>
        <v>95</v>
      </c>
      <c r="S23" s="54">
        <v>14</v>
      </c>
      <c r="T23" s="49" t="str">
        <f t="shared" si="9"/>
        <v>Pass</v>
      </c>
      <c r="U23" s="4">
        <f t="shared" si="10"/>
        <v>0.28000000000000003</v>
      </c>
      <c r="V23" s="54">
        <v>36</v>
      </c>
      <c r="W23" s="49" t="str">
        <f t="shared" si="11"/>
        <v>Merit</v>
      </c>
      <c r="X23" s="4">
        <f t="shared" si="12"/>
        <v>0.72</v>
      </c>
      <c r="Y23" s="54">
        <v>5</v>
      </c>
      <c r="Z23" s="49" t="str">
        <f t="shared" si="13"/>
        <v>No Grade</v>
      </c>
      <c r="AA23" s="4">
        <f t="shared" si="14"/>
        <v>0.1</v>
      </c>
      <c r="AB23" s="54">
        <v>19</v>
      </c>
      <c r="AC23" s="49" t="str">
        <f t="shared" si="15"/>
        <v>Pass</v>
      </c>
      <c r="AD23" s="4">
        <f t="shared" si="16"/>
        <v>0.38</v>
      </c>
    </row>
    <row r="24" spans="1:30" x14ac:dyDescent="0.3">
      <c r="A24" s="50" t="s">
        <v>152</v>
      </c>
      <c r="B24" s="49" t="s">
        <v>172</v>
      </c>
      <c r="C24" s="49" t="s">
        <v>63</v>
      </c>
      <c r="D24" s="52">
        <v>5773626896</v>
      </c>
      <c r="E24" s="6" t="s">
        <v>247</v>
      </c>
      <c r="F24" s="52">
        <v>7</v>
      </c>
      <c r="G24" s="49" t="str">
        <f t="shared" si="0"/>
        <v>No Grade</v>
      </c>
      <c r="H24" s="1">
        <f t="shared" si="1"/>
        <v>0.14000000000000001</v>
      </c>
      <c r="I24" s="52">
        <v>47</v>
      </c>
      <c r="J24" s="49" t="str">
        <f t="shared" si="2"/>
        <v>Distinction</v>
      </c>
      <c r="K24" s="1">
        <f t="shared" si="3"/>
        <v>0.94</v>
      </c>
      <c r="L24" s="52">
        <v>4</v>
      </c>
      <c r="M24" s="49" t="str">
        <f t="shared" si="4"/>
        <v>No Grade</v>
      </c>
      <c r="N24" s="1">
        <f t="shared" si="5"/>
        <v>0.08</v>
      </c>
      <c r="O24" s="52">
        <v>7</v>
      </c>
      <c r="P24" s="49" t="str">
        <f t="shared" si="6"/>
        <v>No Grade</v>
      </c>
      <c r="Q24" s="1">
        <f t="shared" si="7"/>
        <v>0.14000000000000001</v>
      </c>
      <c r="R24" s="55">
        <f t="shared" si="8"/>
        <v>65</v>
      </c>
      <c r="S24" s="52">
        <v>38</v>
      </c>
      <c r="T24" s="49" t="str">
        <f t="shared" si="9"/>
        <v>Merit</v>
      </c>
      <c r="U24" s="1">
        <f t="shared" si="10"/>
        <v>0.76</v>
      </c>
      <c r="V24" s="52">
        <v>5</v>
      </c>
      <c r="W24" s="49" t="str">
        <f t="shared" si="11"/>
        <v>No Grade</v>
      </c>
      <c r="X24" s="1">
        <f t="shared" si="12"/>
        <v>0.1</v>
      </c>
      <c r="Y24" s="52">
        <v>37</v>
      </c>
      <c r="Z24" s="49" t="str">
        <f t="shared" si="13"/>
        <v>Merit</v>
      </c>
      <c r="AA24" s="1">
        <f t="shared" si="14"/>
        <v>0.74</v>
      </c>
      <c r="AB24" s="52">
        <v>20</v>
      </c>
      <c r="AC24" s="49" t="str">
        <f t="shared" si="15"/>
        <v>Pass</v>
      </c>
      <c r="AD24" s="1">
        <f t="shared" si="16"/>
        <v>0.4</v>
      </c>
    </row>
    <row r="25" spans="1:30" x14ac:dyDescent="0.3">
      <c r="A25" s="50" t="s">
        <v>166</v>
      </c>
      <c r="B25" s="49" t="s">
        <v>186</v>
      </c>
      <c r="C25" s="49" t="s">
        <v>63</v>
      </c>
      <c r="D25" s="52">
        <v>6092946253</v>
      </c>
      <c r="E25" s="6" t="s">
        <v>256</v>
      </c>
      <c r="F25" s="52">
        <v>15</v>
      </c>
      <c r="G25" s="49" t="str">
        <f t="shared" si="0"/>
        <v>Pass</v>
      </c>
      <c r="H25" s="1">
        <f t="shared" si="1"/>
        <v>0.3</v>
      </c>
      <c r="I25" s="52">
        <v>37</v>
      </c>
      <c r="J25" s="49" t="str">
        <f t="shared" si="2"/>
        <v>Merit</v>
      </c>
      <c r="K25" s="1">
        <f t="shared" si="3"/>
        <v>0.74</v>
      </c>
      <c r="L25" s="52">
        <v>37</v>
      </c>
      <c r="M25" s="49" t="str">
        <f t="shared" si="4"/>
        <v>Merit</v>
      </c>
      <c r="N25" s="1">
        <f t="shared" si="5"/>
        <v>0.74</v>
      </c>
      <c r="O25" s="52">
        <v>27</v>
      </c>
      <c r="P25" s="49" t="str">
        <f t="shared" si="6"/>
        <v>Pass</v>
      </c>
      <c r="Q25" s="1">
        <f t="shared" si="7"/>
        <v>0.54</v>
      </c>
      <c r="R25" s="55">
        <f t="shared" si="8"/>
        <v>116</v>
      </c>
      <c r="S25" s="52">
        <v>9</v>
      </c>
      <c r="T25" s="49" t="str">
        <f t="shared" si="9"/>
        <v>No Grade</v>
      </c>
      <c r="U25" s="1">
        <f t="shared" si="10"/>
        <v>0.18</v>
      </c>
      <c r="V25" s="52">
        <v>29</v>
      </c>
      <c r="W25" s="49" t="str">
        <f t="shared" si="11"/>
        <v>Pass</v>
      </c>
      <c r="X25" s="1">
        <f t="shared" si="12"/>
        <v>0.57999999999999996</v>
      </c>
      <c r="Y25" s="52">
        <v>14</v>
      </c>
      <c r="Z25" s="49" t="str">
        <f t="shared" si="13"/>
        <v>Pass</v>
      </c>
      <c r="AA25" s="1">
        <f t="shared" si="14"/>
        <v>0.28000000000000003</v>
      </c>
      <c r="AB25" s="52">
        <v>34</v>
      </c>
      <c r="AC25" s="49" t="str">
        <f t="shared" si="15"/>
        <v>Merit</v>
      </c>
      <c r="AD25" s="1">
        <f t="shared" si="16"/>
        <v>0.68</v>
      </c>
    </row>
    <row r="26" spans="1:30" x14ac:dyDescent="0.3">
      <c r="A26" s="50" t="s">
        <v>168</v>
      </c>
      <c r="B26" s="49" t="s">
        <v>188</v>
      </c>
      <c r="C26" s="49" t="s">
        <v>63</v>
      </c>
      <c r="D26" s="52">
        <v>3477530517</v>
      </c>
      <c r="E26" s="6">
        <v>37081</v>
      </c>
      <c r="F26" s="52">
        <v>48</v>
      </c>
      <c r="G26" s="49" t="str">
        <f t="shared" si="0"/>
        <v>Distinction</v>
      </c>
      <c r="H26" s="1">
        <f t="shared" si="1"/>
        <v>0.96</v>
      </c>
      <c r="I26" s="52">
        <v>2</v>
      </c>
      <c r="J26" s="49" t="str">
        <f t="shared" si="2"/>
        <v>No Grade</v>
      </c>
      <c r="K26" s="1">
        <f t="shared" si="3"/>
        <v>0.04</v>
      </c>
      <c r="L26" s="52">
        <v>19</v>
      </c>
      <c r="M26" s="49" t="str">
        <f t="shared" si="4"/>
        <v>Pass</v>
      </c>
      <c r="N26" s="1">
        <f t="shared" si="5"/>
        <v>0.38</v>
      </c>
      <c r="O26" s="52">
        <v>28</v>
      </c>
      <c r="P26" s="49" t="str">
        <f t="shared" si="6"/>
        <v>Pass</v>
      </c>
      <c r="Q26" s="1">
        <f t="shared" si="7"/>
        <v>0.56000000000000005</v>
      </c>
      <c r="R26" s="55">
        <f t="shared" si="8"/>
        <v>97</v>
      </c>
      <c r="S26" s="52">
        <v>39</v>
      </c>
      <c r="T26" s="49" t="str">
        <f t="shared" si="9"/>
        <v>Merit</v>
      </c>
      <c r="U26" s="1">
        <f t="shared" si="10"/>
        <v>0.78</v>
      </c>
      <c r="V26" s="52">
        <v>41</v>
      </c>
      <c r="W26" s="49" t="str">
        <f t="shared" si="11"/>
        <v>Distinction</v>
      </c>
      <c r="X26" s="1">
        <f t="shared" si="12"/>
        <v>0.82</v>
      </c>
      <c r="Y26" s="52">
        <v>30</v>
      </c>
      <c r="Z26" s="49" t="str">
        <f t="shared" si="13"/>
        <v>Merit</v>
      </c>
      <c r="AA26" s="1">
        <f t="shared" si="14"/>
        <v>0.6</v>
      </c>
      <c r="AB26" s="52">
        <v>29</v>
      </c>
      <c r="AC26" s="49" t="str">
        <f t="shared" si="15"/>
        <v>Pass</v>
      </c>
      <c r="AD26" s="1">
        <f t="shared" si="16"/>
        <v>0.57999999999999996</v>
      </c>
    </row>
    <row r="27" spans="1:30" x14ac:dyDescent="0.3">
      <c r="A27" s="50" t="s">
        <v>190</v>
      </c>
      <c r="B27" s="49" t="s">
        <v>200</v>
      </c>
      <c r="C27" s="49" t="s">
        <v>63</v>
      </c>
      <c r="D27" s="52">
        <v>1131940475</v>
      </c>
      <c r="E27" s="6" t="s">
        <v>259</v>
      </c>
      <c r="F27" s="52">
        <v>35</v>
      </c>
      <c r="G27" s="49" t="str">
        <f t="shared" si="0"/>
        <v>Merit</v>
      </c>
      <c r="H27" s="1">
        <f t="shared" si="1"/>
        <v>0.7</v>
      </c>
      <c r="I27" s="52">
        <v>6</v>
      </c>
      <c r="J27" s="49" t="str">
        <f t="shared" si="2"/>
        <v>No Grade</v>
      </c>
      <c r="K27" s="1">
        <f t="shared" si="3"/>
        <v>0.12</v>
      </c>
      <c r="L27" s="52">
        <v>16</v>
      </c>
      <c r="M27" s="49" t="str">
        <f t="shared" si="4"/>
        <v>Pass</v>
      </c>
      <c r="N27" s="1">
        <f t="shared" si="5"/>
        <v>0.32</v>
      </c>
      <c r="O27" s="52">
        <v>42</v>
      </c>
      <c r="P27" s="49" t="str">
        <f t="shared" si="6"/>
        <v>Distinction</v>
      </c>
      <c r="Q27" s="1">
        <f t="shared" si="7"/>
        <v>0.84</v>
      </c>
      <c r="R27" s="55">
        <f t="shared" si="8"/>
        <v>99</v>
      </c>
      <c r="S27" s="52">
        <v>48</v>
      </c>
      <c r="T27" s="49" t="str">
        <f t="shared" si="9"/>
        <v>Distinction</v>
      </c>
      <c r="U27" s="1">
        <f t="shared" si="10"/>
        <v>0.96</v>
      </c>
      <c r="V27" s="52">
        <v>35</v>
      </c>
      <c r="W27" s="49" t="str">
        <f t="shared" si="11"/>
        <v>Merit</v>
      </c>
      <c r="X27" s="1">
        <f t="shared" si="12"/>
        <v>0.7</v>
      </c>
      <c r="Y27" s="52">
        <v>29</v>
      </c>
      <c r="Z27" s="49" t="str">
        <f t="shared" si="13"/>
        <v>Pass</v>
      </c>
      <c r="AA27" s="1">
        <f t="shared" si="14"/>
        <v>0.57999999999999996</v>
      </c>
      <c r="AB27" s="52">
        <v>19</v>
      </c>
      <c r="AC27" s="49" t="str">
        <f t="shared" si="15"/>
        <v>Pass</v>
      </c>
      <c r="AD27" s="1">
        <f t="shared" si="16"/>
        <v>0.38</v>
      </c>
    </row>
    <row r="28" spans="1:30" x14ac:dyDescent="0.3">
      <c r="A28" s="50" t="s">
        <v>162</v>
      </c>
      <c r="B28" s="49" t="s">
        <v>182</v>
      </c>
      <c r="C28" s="49" t="s">
        <v>64</v>
      </c>
      <c r="D28" s="52">
        <v>2977166635</v>
      </c>
      <c r="E28" s="6" t="s">
        <v>253</v>
      </c>
      <c r="F28" s="52">
        <v>3</v>
      </c>
      <c r="G28" s="49" t="str">
        <f t="shared" si="0"/>
        <v>No Grade</v>
      </c>
      <c r="H28" s="1">
        <f t="shared" si="1"/>
        <v>0.06</v>
      </c>
      <c r="I28" s="52">
        <v>46</v>
      </c>
      <c r="J28" s="49" t="str">
        <f t="shared" si="2"/>
        <v>Distinction</v>
      </c>
      <c r="K28" s="1">
        <f t="shared" si="3"/>
        <v>0.92</v>
      </c>
      <c r="L28" s="52">
        <v>29</v>
      </c>
      <c r="M28" s="49" t="str">
        <f t="shared" si="4"/>
        <v>Pass</v>
      </c>
      <c r="N28" s="1">
        <f t="shared" si="5"/>
        <v>0.57999999999999996</v>
      </c>
      <c r="O28" s="52">
        <v>16</v>
      </c>
      <c r="P28" s="49" t="str">
        <f t="shared" si="6"/>
        <v>Pass</v>
      </c>
      <c r="Q28" s="1">
        <f t="shared" si="7"/>
        <v>0.32</v>
      </c>
      <c r="R28" s="55">
        <f t="shared" si="8"/>
        <v>94</v>
      </c>
      <c r="S28" s="52">
        <v>47</v>
      </c>
      <c r="T28" s="49" t="str">
        <f t="shared" si="9"/>
        <v>Distinction</v>
      </c>
      <c r="U28" s="1">
        <f t="shared" si="10"/>
        <v>0.94</v>
      </c>
      <c r="V28" s="52">
        <v>40</v>
      </c>
      <c r="W28" s="49" t="str">
        <f t="shared" si="11"/>
        <v>Distinction</v>
      </c>
      <c r="X28" s="1">
        <f t="shared" si="12"/>
        <v>0.8</v>
      </c>
      <c r="Y28" s="52">
        <v>46</v>
      </c>
      <c r="Z28" s="49" t="str">
        <f t="shared" si="13"/>
        <v>Distinction</v>
      </c>
      <c r="AA28" s="1">
        <f t="shared" si="14"/>
        <v>0.92</v>
      </c>
      <c r="AB28" s="52">
        <v>29</v>
      </c>
      <c r="AC28" s="49" t="str">
        <f t="shared" si="15"/>
        <v>Pass</v>
      </c>
      <c r="AD28" s="1">
        <f t="shared" si="16"/>
        <v>0.57999999999999996</v>
      </c>
    </row>
    <row r="29" spans="1:30" x14ac:dyDescent="0.3">
      <c r="A29" s="47" t="s">
        <v>191</v>
      </c>
      <c r="B29" s="48" t="s">
        <v>201</v>
      </c>
      <c r="C29" s="48" t="s">
        <v>63</v>
      </c>
      <c r="D29" s="51">
        <v>6755958080</v>
      </c>
      <c r="E29" s="7" t="s">
        <v>260</v>
      </c>
      <c r="F29" s="51">
        <v>17</v>
      </c>
      <c r="G29" s="49" t="str">
        <f t="shared" si="0"/>
        <v>Pass</v>
      </c>
      <c r="H29" s="3">
        <f t="shared" si="1"/>
        <v>0.34</v>
      </c>
      <c r="I29" s="51">
        <v>6</v>
      </c>
      <c r="J29" s="49" t="str">
        <f t="shared" si="2"/>
        <v>No Grade</v>
      </c>
      <c r="K29" s="3">
        <f t="shared" si="3"/>
        <v>0.12</v>
      </c>
      <c r="L29" s="51">
        <v>44</v>
      </c>
      <c r="M29" s="49" t="str">
        <f t="shared" si="4"/>
        <v>Distinction</v>
      </c>
      <c r="N29" s="3">
        <f t="shared" si="5"/>
        <v>0.88</v>
      </c>
      <c r="O29" s="51">
        <v>29</v>
      </c>
      <c r="P29" s="49" t="str">
        <f t="shared" si="6"/>
        <v>Pass</v>
      </c>
      <c r="Q29" s="3">
        <f t="shared" si="7"/>
        <v>0.57999999999999996</v>
      </c>
      <c r="R29" s="55">
        <f t="shared" si="8"/>
        <v>96</v>
      </c>
      <c r="S29" s="54">
        <v>8</v>
      </c>
      <c r="T29" s="49" t="str">
        <f t="shared" si="9"/>
        <v>No Grade</v>
      </c>
      <c r="U29" s="4">
        <f t="shared" si="10"/>
        <v>0.16</v>
      </c>
      <c r="V29" s="54">
        <v>19</v>
      </c>
      <c r="W29" s="49" t="str">
        <f t="shared" si="11"/>
        <v>Pass</v>
      </c>
      <c r="X29" s="4">
        <f t="shared" si="12"/>
        <v>0.38</v>
      </c>
      <c r="Y29" s="54">
        <v>50</v>
      </c>
      <c r="Z29" s="49" t="str">
        <f t="shared" si="13"/>
        <v>Distinction</v>
      </c>
      <c r="AA29" s="4">
        <f t="shared" si="14"/>
        <v>1</v>
      </c>
      <c r="AB29" s="54">
        <v>33</v>
      </c>
      <c r="AC29" s="49" t="str">
        <f t="shared" si="15"/>
        <v>Merit</v>
      </c>
      <c r="AD29" s="4">
        <f t="shared" si="16"/>
        <v>0.66</v>
      </c>
    </row>
    <row r="30" spans="1:30" x14ac:dyDescent="0.3">
      <c r="A30" s="50" t="s">
        <v>160</v>
      </c>
      <c r="B30" s="49" t="s">
        <v>180</v>
      </c>
      <c r="C30" s="49" t="s">
        <v>64</v>
      </c>
      <c r="D30" s="52">
        <v>1802811484</v>
      </c>
      <c r="E30" s="6">
        <v>37408</v>
      </c>
      <c r="F30" s="52">
        <v>35</v>
      </c>
      <c r="G30" s="49" t="str">
        <f t="shared" si="0"/>
        <v>Merit</v>
      </c>
      <c r="H30" s="1">
        <f t="shared" si="1"/>
        <v>0.7</v>
      </c>
      <c r="I30" s="52">
        <v>45</v>
      </c>
      <c r="J30" s="49" t="str">
        <f t="shared" si="2"/>
        <v>Distinction</v>
      </c>
      <c r="K30" s="1">
        <f t="shared" si="3"/>
        <v>0.9</v>
      </c>
      <c r="L30" s="52">
        <v>29</v>
      </c>
      <c r="M30" s="49" t="str">
        <f t="shared" si="4"/>
        <v>Pass</v>
      </c>
      <c r="N30" s="1">
        <f t="shared" si="5"/>
        <v>0.57999999999999996</v>
      </c>
      <c r="O30" s="52">
        <v>30</v>
      </c>
      <c r="P30" s="49" t="str">
        <f t="shared" si="6"/>
        <v>Merit</v>
      </c>
      <c r="Q30" s="1">
        <f t="shared" si="7"/>
        <v>0.6</v>
      </c>
      <c r="R30" s="55">
        <f t="shared" si="8"/>
        <v>139</v>
      </c>
      <c r="S30" s="52">
        <v>40</v>
      </c>
      <c r="T30" s="49" t="str">
        <f t="shared" si="9"/>
        <v>Distinction</v>
      </c>
      <c r="U30" s="1">
        <f t="shared" si="10"/>
        <v>0.8</v>
      </c>
      <c r="V30" s="52">
        <v>11</v>
      </c>
      <c r="W30" s="49" t="str">
        <f t="shared" si="11"/>
        <v>Pass</v>
      </c>
      <c r="X30" s="1">
        <f t="shared" si="12"/>
        <v>0.22</v>
      </c>
      <c r="Y30" s="52">
        <v>36</v>
      </c>
      <c r="Z30" s="49" t="str">
        <f t="shared" si="13"/>
        <v>Merit</v>
      </c>
      <c r="AA30" s="1">
        <f t="shared" si="14"/>
        <v>0.72</v>
      </c>
      <c r="AB30" s="52">
        <v>36</v>
      </c>
      <c r="AC30" s="49" t="str">
        <f t="shared" si="15"/>
        <v>Merit</v>
      </c>
      <c r="AD30" s="1">
        <f t="shared" si="16"/>
        <v>0.72</v>
      </c>
    </row>
    <row r="31" spans="1:30" x14ac:dyDescent="0.3">
      <c r="A31" s="50" t="s">
        <v>158</v>
      </c>
      <c r="B31" s="49" t="s">
        <v>178</v>
      </c>
      <c r="C31" s="49" t="s">
        <v>63</v>
      </c>
      <c r="D31" s="52">
        <v>9310392923</v>
      </c>
      <c r="E31" s="6" t="s">
        <v>250</v>
      </c>
      <c r="F31" s="52">
        <v>26</v>
      </c>
      <c r="G31" s="49" t="str">
        <f t="shared" si="0"/>
        <v>Pass</v>
      </c>
      <c r="H31" s="1">
        <f t="shared" si="1"/>
        <v>0.52</v>
      </c>
      <c r="I31" s="52">
        <v>46</v>
      </c>
      <c r="J31" s="49" t="str">
        <f t="shared" si="2"/>
        <v>Distinction</v>
      </c>
      <c r="K31" s="1">
        <f t="shared" si="3"/>
        <v>0.92</v>
      </c>
      <c r="L31" s="52">
        <v>15</v>
      </c>
      <c r="M31" s="49" t="str">
        <f t="shared" si="4"/>
        <v>Pass</v>
      </c>
      <c r="N31" s="1">
        <f t="shared" si="5"/>
        <v>0.3</v>
      </c>
      <c r="O31" s="52">
        <v>3</v>
      </c>
      <c r="P31" s="49" t="str">
        <f t="shared" si="6"/>
        <v>No Grade</v>
      </c>
      <c r="Q31" s="1">
        <f t="shared" si="7"/>
        <v>0.06</v>
      </c>
      <c r="R31" s="55">
        <f t="shared" si="8"/>
        <v>90</v>
      </c>
      <c r="S31" s="52">
        <v>8</v>
      </c>
      <c r="T31" s="49" t="str">
        <f t="shared" si="9"/>
        <v>No Grade</v>
      </c>
      <c r="U31" s="1">
        <f t="shared" si="10"/>
        <v>0.16</v>
      </c>
      <c r="V31" s="52">
        <v>50</v>
      </c>
      <c r="W31" s="49" t="str">
        <f t="shared" si="11"/>
        <v>Distinction</v>
      </c>
      <c r="X31" s="1">
        <f t="shared" si="12"/>
        <v>1</v>
      </c>
      <c r="Y31" s="52">
        <v>19</v>
      </c>
      <c r="Z31" s="49" t="str">
        <f t="shared" si="13"/>
        <v>Pass</v>
      </c>
      <c r="AA31" s="1">
        <f t="shared" si="14"/>
        <v>0.38</v>
      </c>
      <c r="AB31" s="52">
        <v>37</v>
      </c>
      <c r="AC31" s="49" t="str">
        <f t="shared" si="15"/>
        <v>Merit</v>
      </c>
      <c r="AD31" s="1">
        <f t="shared" si="16"/>
        <v>0.74</v>
      </c>
    </row>
    <row r="32" spans="1:30" x14ac:dyDescent="0.3">
      <c r="A32" s="47" t="s">
        <v>161</v>
      </c>
      <c r="B32" s="48" t="s">
        <v>181</v>
      </c>
      <c r="C32" s="48" t="s">
        <v>63</v>
      </c>
      <c r="D32" s="51">
        <v>949507049</v>
      </c>
      <c r="E32" s="7" t="s">
        <v>252</v>
      </c>
      <c r="F32" s="51">
        <v>19</v>
      </c>
      <c r="G32" s="49" t="str">
        <f t="shared" si="0"/>
        <v>Pass</v>
      </c>
      <c r="H32" s="3">
        <f t="shared" si="1"/>
        <v>0.38</v>
      </c>
      <c r="I32" s="51">
        <v>20</v>
      </c>
      <c r="J32" s="49" t="str">
        <f t="shared" si="2"/>
        <v>Pass</v>
      </c>
      <c r="K32" s="3">
        <f t="shared" si="3"/>
        <v>0.4</v>
      </c>
      <c r="L32" s="51">
        <v>33</v>
      </c>
      <c r="M32" s="49" t="str">
        <f t="shared" si="4"/>
        <v>Merit</v>
      </c>
      <c r="N32" s="3">
        <f t="shared" si="5"/>
        <v>0.66</v>
      </c>
      <c r="O32" s="51">
        <v>46</v>
      </c>
      <c r="P32" s="49" t="str">
        <f t="shared" si="6"/>
        <v>Distinction</v>
      </c>
      <c r="Q32" s="3">
        <f t="shared" si="7"/>
        <v>0.92</v>
      </c>
      <c r="R32" s="55">
        <f t="shared" si="8"/>
        <v>118</v>
      </c>
      <c r="S32" s="54">
        <v>33</v>
      </c>
      <c r="T32" s="49" t="str">
        <f t="shared" si="9"/>
        <v>Merit</v>
      </c>
      <c r="U32" s="4">
        <f t="shared" si="10"/>
        <v>0.66</v>
      </c>
      <c r="V32" s="54">
        <v>15</v>
      </c>
      <c r="W32" s="49" t="str">
        <f t="shared" si="11"/>
        <v>Pass</v>
      </c>
      <c r="X32" s="4">
        <f t="shared" si="12"/>
        <v>0.3</v>
      </c>
      <c r="Y32" s="54">
        <v>47</v>
      </c>
      <c r="Z32" s="49" t="str">
        <f t="shared" si="13"/>
        <v>Distinction</v>
      </c>
      <c r="AA32" s="4">
        <f t="shared" si="14"/>
        <v>0.94</v>
      </c>
      <c r="AB32" s="54">
        <v>20</v>
      </c>
      <c r="AC32" s="49" t="str">
        <f t="shared" si="15"/>
        <v>Pass</v>
      </c>
      <c r="AD32" s="4">
        <f t="shared" si="16"/>
        <v>0.4</v>
      </c>
    </row>
    <row r="33" spans="1:30" x14ac:dyDescent="0.3">
      <c r="A33" s="47" t="s">
        <v>163</v>
      </c>
      <c r="B33" s="48" t="s">
        <v>183</v>
      </c>
      <c r="C33" s="48" t="s">
        <v>63</v>
      </c>
      <c r="D33" s="51">
        <v>2092377448</v>
      </c>
      <c r="E33" s="7" t="s">
        <v>254</v>
      </c>
      <c r="F33" s="51">
        <v>8</v>
      </c>
      <c r="G33" s="49" t="str">
        <f t="shared" si="0"/>
        <v>No Grade</v>
      </c>
      <c r="H33" s="3">
        <f t="shared" si="1"/>
        <v>0.16</v>
      </c>
      <c r="I33" s="51">
        <v>21</v>
      </c>
      <c r="J33" s="49" t="str">
        <f t="shared" si="2"/>
        <v>Pass</v>
      </c>
      <c r="K33" s="3">
        <f t="shared" si="3"/>
        <v>0.42</v>
      </c>
      <c r="L33" s="51">
        <v>21</v>
      </c>
      <c r="M33" s="49" t="str">
        <f t="shared" si="4"/>
        <v>Pass</v>
      </c>
      <c r="N33" s="3">
        <f t="shared" si="5"/>
        <v>0.42</v>
      </c>
      <c r="O33" s="51">
        <v>1</v>
      </c>
      <c r="P33" s="49" t="str">
        <f t="shared" si="6"/>
        <v>No Grade</v>
      </c>
      <c r="Q33" s="3">
        <f t="shared" si="7"/>
        <v>0.02</v>
      </c>
      <c r="R33" s="55">
        <f t="shared" si="8"/>
        <v>51</v>
      </c>
      <c r="S33" s="54">
        <v>11</v>
      </c>
      <c r="T33" s="49" t="str">
        <f t="shared" si="9"/>
        <v>Pass</v>
      </c>
      <c r="U33" s="4">
        <f t="shared" si="10"/>
        <v>0.22</v>
      </c>
      <c r="V33" s="54">
        <v>42</v>
      </c>
      <c r="W33" s="49" t="str">
        <f t="shared" si="11"/>
        <v>Distinction</v>
      </c>
      <c r="X33" s="4">
        <f t="shared" si="12"/>
        <v>0.84</v>
      </c>
      <c r="Y33" s="54">
        <v>19</v>
      </c>
      <c r="Z33" s="49" t="str">
        <f t="shared" si="13"/>
        <v>Pass</v>
      </c>
      <c r="AA33" s="4">
        <f t="shared" si="14"/>
        <v>0.38</v>
      </c>
      <c r="AB33" s="54">
        <v>5</v>
      </c>
      <c r="AC33" s="49" t="str">
        <f t="shared" si="15"/>
        <v>No Grade</v>
      </c>
      <c r="AD33" s="4">
        <f t="shared" si="16"/>
        <v>0.1</v>
      </c>
    </row>
    <row r="34" spans="1:30" x14ac:dyDescent="0.3">
      <c r="A34" s="47" t="s">
        <v>165</v>
      </c>
      <c r="B34" s="48" t="s">
        <v>185</v>
      </c>
      <c r="C34" s="48" t="s">
        <v>63</v>
      </c>
      <c r="D34" s="51">
        <v>5153407047</v>
      </c>
      <c r="E34" s="7">
        <v>36842</v>
      </c>
      <c r="F34" s="51">
        <v>45</v>
      </c>
      <c r="G34" s="49" t="str">
        <f t="shared" si="0"/>
        <v>Distinction</v>
      </c>
      <c r="H34" s="3">
        <f t="shared" si="1"/>
        <v>0.9</v>
      </c>
      <c r="I34" s="51">
        <v>9</v>
      </c>
      <c r="J34" s="49" t="str">
        <f t="shared" si="2"/>
        <v>No Grade</v>
      </c>
      <c r="K34" s="3">
        <f t="shared" si="3"/>
        <v>0.18</v>
      </c>
      <c r="L34" s="51">
        <v>36</v>
      </c>
      <c r="M34" s="49" t="str">
        <f t="shared" si="4"/>
        <v>Merit</v>
      </c>
      <c r="N34" s="3">
        <f t="shared" si="5"/>
        <v>0.72</v>
      </c>
      <c r="O34" s="51">
        <v>26</v>
      </c>
      <c r="P34" s="49" t="str">
        <f t="shared" si="6"/>
        <v>Pass</v>
      </c>
      <c r="Q34" s="3">
        <f t="shared" si="7"/>
        <v>0.52</v>
      </c>
      <c r="R34" s="55">
        <f t="shared" si="8"/>
        <v>116</v>
      </c>
      <c r="S34" s="54">
        <v>17</v>
      </c>
      <c r="T34" s="49" t="str">
        <f t="shared" si="9"/>
        <v>Pass</v>
      </c>
      <c r="U34" s="4">
        <f t="shared" si="10"/>
        <v>0.34</v>
      </c>
      <c r="V34" s="54">
        <v>17</v>
      </c>
      <c r="W34" s="49" t="str">
        <f t="shared" si="11"/>
        <v>Pass</v>
      </c>
      <c r="X34" s="4">
        <f t="shared" si="12"/>
        <v>0.34</v>
      </c>
      <c r="Y34" s="54">
        <v>7</v>
      </c>
      <c r="Z34" s="49" t="str">
        <f t="shared" si="13"/>
        <v>No Grade</v>
      </c>
      <c r="AA34" s="4">
        <f t="shared" si="14"/>
        <v>0.14000000000000001</v>
      </c>
      <c r="AB34" s="54">
        <v>17</v>
      </c>
      <c r="AC34" s="49" t="str">
        <f t="shared" si="15"/>
        <v>Pass</v>
      </c>
      <c r="AD34" s="4">
        <f t="shared" si="16"/>
        <v>0.34</v>
      </c>
    </row>
    <row r="35" spans="1:30" x14ac:dyDescent="0.3">
      <c r="A35" s="47" t="s">
        <v>157</v>
      </c>
      <c r="B35" s="48" t="s">
        <v>177</v>
      </c>
      <c r="C35" s="48" t="s">
        <v>63</v>
      </c>
      <c r="D35" s="51">
        <v>1225131577</v>
      </c>
      <c r="E35" s="7">
        <v>37591</v>
      </c>
      <c r="F35" s="51">
        <v>29</v>
      </c>
      <c r="G35" s="49" t="str">
        <f t="shared" si="0"/>
        <v>Pass</v>
      </c>
      <c r="H35" s="3">
        <f t="shared" si="1"/>
        <v>0.57999999999999996</v>
      </c>
      <c r="I35" s="51">
        <v>11</v>
      </c>
      <c r="J35" s="49" t="str">
        <f t="shared" si="2"/>
        <v>Pass</v>
      </c>
      <c r="K35" s="3">
        <f t="shared" si="3"/>
        <v>0.22</v>
      </c>
      <c r="L35" s="51">
        <v>13</v>
      </c>
      <c r="M35" s="49" t="str">
        <f t="shared" si="4"/>
        <v>Pass</v>
      </c>
      <c r="N35" s="3">
        <f t="shared" si="5"/>
        <v>0.26</v>
      </c>
      <c r="O35" s="51">
        <v>16</v>
      </c>
      <c r="P35" s="49" t="str">
        <f t="shared" si="6"/>
        <v>Pass</v>
      </c>
      <c r="Q35" s="3">
        <f t="shared" si="7"/>
        <v>0.32</v>
      </c>
      <c r="R35" s="55">
        <f t="shared" si="8"/>
        <v>69</v>
      </c>
      <c r="S35" s="54">
        <v>46</v>
      </c>
      <c r="T35" s="49" t="str">
        <f t="shared" si="9"/>
        <v>Distinction</v>
      </c>
      <c r="U35" s="4">
        <f t="shared" si="10"/>
        <v>0.92</v>
      </c>
      <c r="V35" s="54">
        <v>25</v>
      </c>
      <c r="W35" s="49" t="str">
        <f t="shared" si="11"/>
        <v>Pass</v>
      </c>
      <c r="X35" s="4">
        <f t="shared" si="12"/>
        <v>0.5</v>
      </c>
      <c r="Y35" s="54">
        <v>34</v>
      </c>
      <c r="Z35" s="49" t="str">
        <f t="shared" si="13"/>
        <v>Merit</v>
      </c>
      <c r="AA35" s="4">
        <f t="shared" si="14"/>
        <v>0.68</v>
      </c>
      <c r="AB35" s="54">
        <v>50</v>
      </c>
      <c r="AC35" s="49" t="str">
        <f t="shared" si="15"/>
        <v>Distinction</v>
      </c>
      <c r="AD35" s="4">
        <f t="shared" si="16"/>
        <v>1</v>
      </c>
    </row>
    <row r="37" spans="1:30" ht="18" customHeight="1" x14ac:dyDescent="0.3"/>
    <row r="38" spans="1:30" ht="19.95" customHeight="1" x14ac:dyDescent="0.3">
      <c r="B38" s="105"/>
      <c r="C38" s="105"/>
      <c r="D38" s="105"/>
      <c r="E38" s="105"/>
      <c r="F38" s="105"/>
      <c r="H38" s="128"/>
      <c r="I38" s="106" t="s">
        <v>322</v>
      </c>
      <c r="J38" s="107"/>
      <c r="K38" s="107"/>
      <c r="L38" s="107"/>
      <c r="M38" s="107"/>
      <c r="N38" s="107"/>
      <c r="O38" s="107"/>
      <c r="P38" s="108"/>
      <c r="R38" s="106" t="s">
        <v>0</v>
      </c>
      <c r="S38" s="107"/>
      <c r="T38" s="108"/>
    </row>
    <row r="39" spans="1:30" ht="19.95" customHeight="1" x14ac:dyDescent="0.3">
      <c r="B39" s="105"/>
      <c r="C39" s="105"/>
      <c r="D39" s="105"/>
      <c r="E39" s="105"/>
      <c r="F39" s="105"/>
      <c r="H39" s="128"/>
      <c r="I39" s="109" t="s">
        <v>5</v>
      </c>
      <c r="J39" s="110"/>
      <c r="K39" s="110"/>
      <c r="L39" s="111"/>
      <c r="M39" s="109" t="s">
        <v>12</v>
      </c>
      <c r="N39" s="110"/>
      <c r="O39" s="110"/>
      <c r="P39" s="111"/>
      <c r="R39" s="46" t="s">
        <v>88</v>
      </c>
      <c r="S39" s="133">
        <f>COUNTA(FirstName3)</f>
        <v>30</v>
      </c>
      <c r="T39" s="134"/>
    </row>
    <row r="40" spans="1:30" ht="19.95" customHeight="1" x14ac:dyDescent="0.3">
      <c r="B40" s="105"/>
      <c r="C40" s="105"/>
      <c r="D40" s="105"/>
      <c r="E40" s="105"/>
      <c r="F40" s="105"/>
      <c r="H40" s="129"/>
      <c r="I40" s="46" t="s">
        <v>84</v>
      </c>
      <c r="J40" s="46" t="s">
        <v>85</v>
      </c>
      <c r="K40" s="46" t="s">
        <v>315</v>
      </c>
      <c r="L40" s="46" t="s">
        <v>86</v>
      </c>
      <c r="M40" s="46" t="s">
        <v>84</v>
      </c>
      <c r="N40" s="46" t="s">
        <v>85</v>
      </c>
      <c r="O40" s="46" t="s">
        <v>315</v>
      </c>
      <c r="P40" s="46" t="s">
        <v>86</v>
      </c>
      <c r="R40" s="46" t="s">
        <v>79</v>
      </c>
      <c r="S40" s="135">
        <f>AVERAGE(R6:R35)</f>
        <v>101.5</v>
      </c>
      <c r="T40" s="136"/>
    </row>
    <row r="41" spans="1:30" ht="19.95" customHeight="1" x14ac:dyDescent="0.3">
      <c r="B41" s="105"/>
      <c r="C41" s="105"/>
      <c r="D41" s="105"/>
      <c r="E41" s="105"/>
      <c r="F41" s="105"/>
      <c r="H41" s="56" t="s">
        <v>83</v>
      </c>
      <c r="I41" s="60">
        <f>COUNTIF(G6:G35,"Distinction")</f>
        <v>4</v>
      </c>
      <c r="J41" s="60">
        <f>COUNTIF(J6:J35,"Distinction")</f>
        <v>7</v>
      </c>
      <c r="K41" s="60">
        <f>COUNTIF(M6:M35,"Distinction")</f>
        <v>4</v>
      </c>
      <c r="L41" s="60">
        <f>COUNTIF(P6:P35,"Distinction")</f>
        <v>8</v>
      </c>
      <c r="M41" s="60">
        <f>COUNTIF(T6:T35,"Distinction")</f>
        <v>8</v>
      </c>
      <c r="N41" s="60">
        <f>COUNTIF(W6:W35,"Distinction")</f>
        <v>7</v>
      </c>
      <c r="O41" s="60">
        <f>COUNTIF(Z6:Z35,"Distinction")</f>
        <v>4</v>
      </c>
      <c r="P41" s="60">
        <f>COUNTIF(AC6:AC35,"Distinction")</f>
        <v>5</v>
      </c>
      <c r="R41" s="46" t="s">
        <v>314</v>
      </c>
      <c r="S41" s="132">
        <f>MAX(R6:R35)</f>
        <v>200</v>
      </c>
      <c r="T41" s="132"/>
    </row>
    <row r="42" spans="1:30" ht="22.2" customHeight="1" x14ac:dyDescent="0.3">
      <c r="B42" s="105"/>
      <c r="C42" s="105"/>
      <c r="D42" s="105"/>
      <c r="E42" s="105"/>
      <c r="F42" s="105"/>
      <c r="H42" s="57" t="s">
        <v>82</v>
      </c>
      <c r="I42" s="51">
        <f>COUNTIF(G6:G35,"Merit")</f>
        <v>3</v>
      </c>
      <c r="J42" s="51">
        <f>COUNTIF(J6:J35,"Merit")</f>
        <v>10</v>
      </c>
      <c r="K42" s="51">
        <f>COUNTIF(M6:M35,"Merit")</f>
        <v>7</v>
      </c>
      <c r="L42" s="51">
        <f>COUNTIF(P6:P35,"Merit")</f>
        <v>2</v>
      </c>
      <c r="M42" s="51">
        <f>COUNTIF(T6:T35,"Merit")</f>
        <v>8</v>
      </c>
      <c r="N42" s="51">
        <f>COUNTIF(W6:W35,"Merit")</f>
        <v>5</v>
      </c>
      <c r="O42" s="51">
        <f>COUNTIF(Z6:Z35,"Merit")</f>
        <v>10</v>
      </c>
      <c r="P42" s="51">
        <f>COUNTIF(AC6:AC35,"Merit")</f>
        <v>5</v>
      </c>
      <c r="R42" s="46" t="s">
        <v>89</v>
      </c>
      <c r="S42" s="132">
        <f>MIN(R6:R35)</f>
        <v>51</v>
      </c>
      <c r="T42" s="132"/>
    </row>
    <row r="43" spans="1:30" ht="22.2" customHeight="1" x14ac:dyDescent="0.3">
      <c r="H43" s="58" t="s">
        <v>81</v>
      </c>
      <c r="I43" s="60">
        <f>COUNTIF(G6:G35,"Pass")</f>
        <v>18</v>
      </c>
      <c r="J43" s="60">
        <f>COUNTIF(J6:J35,"Pass")</f>
        <v>7</v>
      </c>
      <c r="K43" s="60">
        <f>COUNTIF(M6:M35,"Pass")</f>
        <v>14</v>
      </c>
      <c r="L43" s="60">
        <f>COUNTIF(P6:P35,"Pass")</f>
        <v>16</v>
      </c>
      <c r="M43" s="60">
        <f>COUNTIF(T6:T35,"Pass")</f>
        <v>8</v>
      </c>
      <c r="N43" s="60">
        <f>COUNTIF(W6:W35,"Pass")</f>
        <v>15</v>
      </c>
      <c r="O43" s="60">
        <f>COUNTIF(Z6:Z35,"Pass")</f>
        <v>11</v>
      </c>
      <c r="P43" s="60">
        <f>COUNTIF(AC6:AC35,"Pass")</f>
        <v>15</v>
      </c>
    </row>
    <row r="44" spans="1:30" ht="15.6" x14ac:dyDescent="0.3">
      <c r="B44" s="105"/>
      <c r="C44" s="105"/>
      <c r="D44" s="105"/>
      <c r="E44" s="105"/>
      <c r="F44" s="105"/>
      <c r="H44" s="59" t="s">
        <v>80</v>
      </c>
      <c r="I44" s="51">
        <f>COUNTIF(G6:G35,"No Grade")</f>
        <v>5</v>
      </c>
      <c r="J44" s="51">
        <f>COUNTIF(J6:J35,"No Grade")</f>
        <v>6</v>
      </c>
      <c r="K44" s="51">
        <f>COUNTIF(M6:M35,"No Grade")</f>
        <v>5</v>
      </c>
      <c r="L44" s="51">
        <f>COUNTIF(P6:P35,"No Grade")</f>
        <v>4</v>
      </c>
      <c r="M44" s="51">
        <f>COUNTIF(T6:T35,"No Grade")</f>
        <v>6</v>
      </c>
      <c r="N44" s="51">
        <f>COUNTIF(W6:W35,"No Grade")</f>
        <v>3</v>
      </c>
      <c r="O44" s="51">
        <f>COUNTIF(Z6:Z35,"No Grade")</f>
        <v>5</v>
      </c>
      <c r="P44" s="51">
        <f>COUNTIF(AC6:AC35,"No Grade")</f>
        <v>5</v>
      </c>
    </row>
    <row r="45" spans="1:30" x14ac:dyDescent="0.3">
      <c r="B45" s="105"/>
      <c r="C45" s="105"/>
      <c r="D45" s="105"/>
      <c r="E45" s="105"/>
      <c r="F45" s="105"/>
    </row>
    <row r="46" spans="1:30" ht="19.95" customHeight="1" x14ac:dyDescent="0.3">
      <c r="B46" s="105"/>
      <c r="C46" s="105"/>
      <c r="D46" s="105"/>
      <c r="E46" s="105"/>
      <c r="F46" s="105"/>
    </row>
    <row r="47" spans="1:30" ht="19.95" customHeight="1" x14ac:dyDescent="0.3">
      <c r="B47" s="105"/>
      <c r="C47" s="105"/>
      <c r="D47" s="105"/>
      <c r="E47" s="105"/>
      <c r="F47" s="105"/>
    </row>
    <row r="48" spans="1:30" ht="19.95" customHeight="1" x14ac:dyDescent="0.3">
      <c r="B48" s="105"/>
      <c r="C48" s="105"/>
      <c r="D48" s="105"/>
      <c r="E48" s="105"/>
      <c r="F48" s="105"/>
    </row>
    <row r="49" ht="19.95" customHeight="1" x14ac:dyDescent="0.3"/>
  </sheetData>
  <sheetProtection sheet="1" objects="1" scenarios="1" sort="0" autoFilter="0"/>
  <sortState xmlns:xlrd2="http://schemas.microsoft.com/office/spreadsheetml/2017/richdata2" ref="A6:AD35">
    <sortCondition ref="A6:A35"/>
  </sortState>
  <mergeCells count="28">
    <mergeCell ref="Y4:AA4"/>
    <mergeCell ref="A1:AD2"/>
    <mergeCell ref="A3:A5"/>
    <mergeCell ref="B3:B5"/>
    <mergeCell ref="C3:C5"/>
    <mergeCell ref="D3:D5"/>
    <mergeCell ref="E3:E5"/>
    <mergeCell ref="F3:Q3"/>
    <mergeCell ref="R3:R5"/>
    <mergeCell ref="S3:AD3"/>
    <mergeCell ref="F4:H4"/>
    <mergeCell ref="AB4:AD4"/>
    <mergeCell ref="I4:K4"/>
    <mergeCell ref="L4:N4"/>
    <mergeCell ref="O4:Q4"/>
    <mergeCell ref="S4:U4"/>
    <mergeCell ref="V4:X4"/>
    <mergeCell ref="S41:T41"/>
    <mergeCell ref="S42:T42"/>
    <mergeCell ref="R38:T38"/>
    <mergeCell ref="S39:T39"/>
    <mergeCell ref="S40:T40"/>
    <mergeCell ref="B44:F48"/>
    <mergeCell ref="B38:F42"/>
    <mergeCell ref="I38:P38"/>
    <mergeCell ref="I39:L39"/>
    <mergeCell ref="M39:P39"/>
    <mergeCell ref="H38:H40"/>
  </mergeCells>
  <conditionalFormatting sqref="G6:G35">
    <cfRule type="cellIs" dxfId="271" priority="40" operator="equal">
      <formula>"Distinction"</formula>
    </cfRule>
    <cfRule type="cellIs" dxfId="270" priority="41" operator="equal">
      <formula>"Distinction"</formula>
    </cfRule>
  </conditionalFormatting>
  <conditionalFormatting sqref="G6:G35">
    <cfRule type="cellIs" dxfId="269" priority="39" operator="equal">
      <formula>"Merit"</formula>
    </cfRule>
  </conditionalFormatting>
  <conditionalFormatting sqref="G6:G35">
    <cfRule type="cellIs" dxfId="268" priority="38" operator="equal">
      <formula>"Pass"</formula>
    </cfRule>
  </conditionalFormatting>
  <conditionalFormatting sqref="G6:G35">
    <cfRule type="cellIs" dxfId="267" priority="37" operator="equal">
      <formula>"No Grade"</formula>
    </cfRule>
  </conditionalFormatting>
  <conditionalFormatting sqref="J6:J35">
    <cfRule type="cellIs" dxfId="266" priority="35" operator="equal">
      <formula>"Distinction"</formula>
    </cfRule>
    <cfRule type="cellIs" dxfId="265" priority="36" operator="equal">
      <formula>"Distinction"</formula>
    </cfRule>
  </conditionalFormatting>
  <conditionalFormatting sqref="J6:J35">
    <cfRule type="cellIs" dxfId="264" priority="34" operator="equal">
      <formula>"Merit"</formula>
    </cfRule>
  </conditionalFormatting>
  <conditionalFormatting sqref="J6:J35">
    <cfRule type="cellIs" dxfId="263" priority="33" operator="equal">
      <formula>"Pass"</formula>
    </cfRule>
  </conditionalFormatting>
  <conditionalFormatting sqref="J6:J35">
    <cfRule type="cellIs" dxfId="262" priority="32" operator="equal">
      <formula>"No Grade"</formula>
    </cfRule>
  </conditionalFormatting>
  <conditionalFormatting sqref="M6:M35">
    <cfRule type="cellIs" dxfId="261" priority="30" operator="equal">
      <formula>"Distinction"</formula>
    </cfRule>
    <cfRule type="cellIs" dxfId="260" priority="31" operator="equal">
      <formula>"Distinction"</formula>
    </cfRule>
  </conditionalFormatting>
  <conditionalFormatting sqref="M6:M35">
    <cfRule type="cellIs" dxfId="259" priority="29" operator="equal">
      <formula>"Merit"</formula>
    </cfRule>
  </conditionalFormatting>
  <conditionalFormatting sqref="M6:M35">
    <cfRule type="cellIs" dxfId="258" priority="28" operator="equal">
      <formula>"Pass"</formula>
    </cfRule>
  </conditionalFormatting>
  <conditionalFormatting sqref="M6:M35">
    <cfRule type="cellIs" dxfId="257" priority="27" operator="equal">
      <formula>"No Grade"</formula>
    </cfRule>
  </conditionalFormatting>
  <conditionalFormatting sqref="P6:P35">
    <cfRule type="cellIs" dxfId="256" priority="25" operator="equal">
      <formula>"Distinction"</formula>
    </cfRule>
    <cfRule type="cellIs" dxfId="255" priority="26" operator="equal">
      <formula>"Distinction"</formula>
    </cfRule>
  </conditionalFormatting>
  <conditionalFormatting sqref="P6:P35">
    <cfRule type="cellIs" dxfId="254" priority="24" operator="equal">
      <formula>"Merit"</formula>
    </cfRule>
  </conditionalFormatting>
  <conditionalFormatting sqref="P6:P35">
    <cfRule type="cellIs" dxfId="253" priority="23" operator="equal">
      <formula>"Pass"</formula>
    </cfRule>
  </conditionalFormatting>
  <conditionalFormatting sqref="P6:P35">
    <cfRule type="cellIs" dxfId="252" priority="22" operator="equal">
      <formula>"No Grade"</formula>
    </cfRule>
  </conditionalFormatting>
  <conditionalFormatting sqref="T6:T35">
    <cfRule type="cellIs" dxfId="251" priority="20" operator="equal">
      <formula>"Distinction"</formula>
    </cfRule>
    <cfRule type="cellIs" dxfId="250" priority="21" operator="equal">
      <formula>"Distinction"</formula>
    </cfRule>
  </conditionalFormatting>
  <conditionalFormatting sqref="T6:T35">
    <cfRule type="cellIs" dxfId="249" priority="19" operator="equal">
      <formula>"Merit"</formula>
    </cfRule>
  </conditionalFormatting>
  <conditionalFormatting sqref="T6:T35">
    <cfRule type="cellIs" dxfId="248" priority="18" operator="equal">
      <formula>"Pass"</formula>
    </cfRule>
  </conditionalFormatting>
  <conditionalFormatting sqref="T6:T35">
    <cfRule type="cellIs" dxfId="247" priority="17" operator="equal">
      <formula>"No Grade"</formula>
    </cfRule>
  </conditionalFormatting>
  <conditionalFormatting sqref="W6:W35">
    <cfRule type="cellIs" dxfId="246" priority="15" operator="equal">
      <formula>"Distinction"</formula>
    </cfRule>
    <cfRule type="cellIs" dxfId="245" priority="16" operator="equal">
      <formula>"Distinction"</formula>
    </cfRule>
  </conditionalFormatting>
  <conditionalFormatting sqref="W6:W35">
    <cfRule type="cellIs" dxfId="244" priority="14" operator="equal">
      <formula>"Merit"</formula>
    </cfRule>
  </conditionalFormatting>
  <conditionalFormatting sqref="W6:W35">
    <cfRule type="cellIs" dxfId="243" priority="13" operator="equal">
      <formula>"Pass"</formula>
    </cfRule>
  </conditionalFormatting>
  <conditionalFormatting sqref="W6:W35">
    <cfRule type="cellIs" dxfId="242" priority="12" operator="equal">
      <formula>"No Grade"</formula>
    </cfRule>
  </conditionalFormatting>
  <conditionalFormatting sqref="Z6:Z35">
    <cfRule type="cellIs" dxfId="241" priority="10" operator="equal">
      <formula>"Distinction"</formula>
    </cfRule>
    <cfRule type="cellIs" dxfId="240" priority="11" operator="equal">
      <formula>"Distinction"</formula>
    </cfRule>
  </conditionalFormatting>
  <conditionalFormatting sqref="Z6:Z35">
    <cfRule type="cellIs" dxfId="239" priority="9" operator="equal">
      <formula>"Merit"</formula>
    </cfRule>
  </conditionalFormatting>
  <conditionalFormatting sqref="Z6:Z35">
    <cfRule type="cellIs" dxfId="238" priority="8" operator="equal">
      <formula>"Pass"</formula>
    </cfRule>
  </conditionalFormatting>
  <conditionalFormatting sqref="Z6:Z35">
    <cfRule type="cellIs" dxfId="237" priority="7" operator="equal">
      <formula>"No Grade"</formula>
    </cfRule>
  </conditionalFormatting>
  <conditionalFormatting sqref="AC6:AC35">
    <cfRule type="cellIs" dxfId="236" priority="5" operator="equal">
      <formula>"Distinction"</formula>
    </cfRule>
    <cfRule type="cellIs" dxfId="235" priority="6" operator="equal">
      <formula>"Distinction"</formula>
    </cfRule>
  </conditionalFormatting>
  <conditionalFormatting sqref="AC6:AC35">
    <cfRule type="cellIs" dxfId="234" priority="4" operator="equal">
      <formula>"Merit"</formula>
    </cfRule>
  </conditionalFormatting>
  <conditionalFormatting sqref="AC6:AC35">
    <cfRule type="cellIs" dxfId="233" priority="3" operator="equal">
      <formula>"Pass"</formula>
    </cfRule>
  </conditionalFormatting>
  <conditionalFormatting sqref="AC6:AC35">
    <cfRule type="cellIs" dxfId="232" priority="2" operator="equal">
      <formula>"No Grade"</formula>
    </cfRule>
  </conditionalFormatting>
  <conditionalFormatting sqref="R6:R35">
    <cfRule type="dataBar" priority="1">
      <dataBar>
        <cfvo type="min"/>
        <cfvo type="max"/>
        <color rgb="FFD6007B"/>
      </dataBar>
      <extLst>
        <ext xmlns:x14="http://schemas.microsoft.com/office/spreadsheetml/2009/9/main" uri="{B025F937-C7B1-47D3-B67F-A62EFF666E3E}">
          <x14:id>{575B41CB-8256-442E-9CC9-48CCFA90112F}</x14:id>
        </ext>
      </extLst>
    </cfRule>
  </conditionalFormatting>
  <pageMargins left="0.7" right="0.7" top="0.75" bottom="0.75" header="0.3" footer="0.3"/>
  <pageSetup paperSize="9" orientation="portrait" horizontalDpi="300" verticalDpi="0" r:id="rId1"/>
  <drawing r:id="rId2"/>
  <extLst>
    <ext xmlns:x14="http://schemas.microsoft.com/office/spreadsheetml/2009/9/main" uri="{78C0D931-6437-407d-A8EE-F0AAD7539E65}">
      <x14:conditionalFormattings>
        <x14:conditionalFormatting xmlns:xm="http://schemas.microsoft.com/office/excel/2006/main">
          <x14:cfRule type="dataBar" id="{575B41CB-8256-442E-9CC9-48CCFA90112F}">
            <x14:dataBar minLength="0" maxLength="100" border="1" negativeBarBorderColorSameAsPositive="0">
              <x14:cfvo type="autoMin"/>
              <x14:cfvo type="autoMax"/>
              <x14:borderColor rgb="FFD6007B"/>
              <x14:negativeFillColor rgb="FFFF0000"/>
              <x14:negativeBorderColor rgb="FFFF0000"/>
              <x14:axisColor rgb="FF000000"/>
            </x14:dataBar>
          </x14:cfRule>
          <xm:sqref>R6:R35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R234"/>
  <sheetViews>
    <sheetView zoomScale="40" zoomScaleNormal="40" workbookViewId="0">
      <selection activeCell="I22" sqref="I22"/>
    </sheetView>
  </sheetViews>
  <sheetFormatPr defaultRowHeight="14.4" x14ac:dyDescent="0.3"/>
  <cols>
    <col min="1" max="1" width="56.6640625" customWidth="1"/>
    <col min="2" max="2" width="17.6640625" bestFit="1" customWidth="1"/>
    <col min="3" max="3" width="26" bestFit="1" customWidth="1"/>
    <col min="4" max="4" width="22.6640625" bestFit="1" customWidth="1"/>
    <col min="5" max="5" width="23.44140625" bestFit="1" customWidth="1"/>
    <col min="6" max="7" width="23" bestFit="1" customWidth="1"/>
    <col min="8" max="8" width="21.44140625" bestFit="1" customWidth="1"/>
    <col min="9" max="9" width="15.6640625" bestFit="1" customWidth="1"/>
    <col min="10" max="10" width="19.33203125" bestFit="1" customWidth="1"/>
    <col min="11" max="11" width="20.109375" bestFit="1" customWidth="1"/>
    <col min="12" max="12" width="20.88671875" bestFit="1" customWidth="1"/>
    <col min="13" max="14" width="20.44140625" bestFit="1" customWidth="1"/>
    <col min="15" max="15" width="18.88671875" bestFit="1" customWidth="1"/>
    <col min="16" max="16" width="15.6640625" bestFit="1" customWidth="1"/>
    <col min="17" max="17" width="13.44140625" bestFit="1" customWidth="1"/>
  </cols>
  <sheetData>
    <row r="1" spans="1:25" ht="29.4" customHeight="1" x14ac:dyDescent="0.3">
      <c r="A1" s="137" t="s">
        <v>0</v>
      </c>
      <c r="B1" s="137"/>
      <c r="C1" s="137"/>
      <c r="D1" s="137"/>
      <c r="E1" s="137"/>
      <c r="F1" s="137"/>
      <c r="G1" s="137"/>
      <c r="H1" s="137"/>
      <c r="I1" s="137"/>
      <c r="J1" s="137"/>
      <c r="K1" s="137"/>
      <c r="L1" s="137"/>
      <c r="M1" s="137"/>
      <c r="N1" s="137"/>
      <c r="O1" s="137"/>
      <c r="P1" s="137"/>
      <c r="Q1" s="137"/>
      <c r="R1" s="137"/>
      <c r="S1" s="137"/>
      <c r="T1" s="137"/>
      <c r="U1" s="21"/>
      <c r="V1" s="21"/>
      <c r="W1" s="21"/>
      <c r="X1" s="21"/>
      <c r="Y1" s="21"/>
    </row>
    <row r="2" spans="1:25" x14ac:dyDescent="0.3">
      <c r="A2" s="18"/>
      <c r="B2" s="18"/>
      <c r="C2" s="18"/>
      <c r="D2" s="18"/>
      <c r="E2" s="18"/>
      <c r="F2" s="18"/>
      <c r="G2" s="18"/>
      <c r="H2" s="18"/>
      <c r="I2" s="18"/>
      <c r="J2" s="18"/>
      <c r="K2" s="18"/>
      <c r="L2" s="18"/>
      <c r="M2" s="18"/>
      <c r="N2" s="18"/>
      <c r="O2" s="18"/>
      <c r="P2" s="18"/>
      <c r="Q2" s="18"/>
      <c r="R2" s="18"/>
      <c r="S2" s="18"/>
      <c r="T2" s="18"/>
      <c r="U2" s="5"/>
      <c r="V2" s="5"/>
      <c r="W2" s="5"/>
      <c r="X2" s="5"/>
      <c r="Y2" s="5"/>
    </row>
    <row r="3" spans="1:25" ht="30.6" customHeight="1" x14ac:dyDescent="0.3">
      <c r="A3" s="18"/>
      <c r="B3" s="18"/>
      <c r="C3" s="19"/>
      <c r="D3" s="139" t="s">
        <v>322</v>
      </c>
      <c r="E3" s="139"/>
      <c r="F3" s="139"/>
      <c r="G3" s="139"/>
      <c r="H3" s="139"/>
      <c r="I3" s="139"/>
      <c r="J3" s="139"/>
      <c r="K3" s="139"/>
      <c r="L3" s="18"/>
      <c r="M3" s="140" t="s">
        <v>0</v>
      </c>
      <c r="N3" s="141"/>
      <c r="O3" s="18"/>
      <c r="P3" s="18"/>
      <c r="Q3" s="18"/>
      <c r="R3" s="18"/>
      <c r="S3" s="18"/>
      <c r="T3" s="18"/>
      <c r="U3" s="5"/>
      <c r="V3" s="5"/>
      <c r="W3" s="5"/>
      <c r="X3" s="5"/>
      <c r="Y3" s="5"/>
    </row>
    <row r="4" spans="1:25" ht="15.6" x14ac:dyDescent="0.3">
      <c r="A4" s="18"/>
      <c r="B4" s="18"/>
      <c r="C4" s="19"/>
      <c r="D4" s="120" t="s">
        <v>5</v>
      </c>
      <c r="E4" s="120"/>
      <c r="F4" s="120"/>
      <c r="G4" s="120"/>
      <c r="H4" s="120" t="s">
        <v>12</v>
      </c>
      <c r="I4" s="120"/>
      <c r="J4" s="120"/>
      <c r="K4" s="120"/>
      <c r="L4" s="18"/>
      <c r="M4" s="46" t="s">
        <v>88</v>
      </c>
      <c r="N4" s="65">
        <v>30</v>
      </c>
      <c r="O4" s="18"/>
      <c r="P4" s="18"/>
      <c r="Q4" s="18"/>
      <c r="R4" s="18"/>
      <c r="S4" s="18"/>
      <c r="T4" s="18"/>
      <c r="U4" s="5"/>
      <c r="V4" s="5"/>
      <c r="W4" s="5"/>
      <c r="X4" s="5"/>
      <c r="Y4" s="5"/>
    </row>
    <row r="5" spans="1:25" ht="15.6" x14ac:dyDescent="0.3">
      <c r="A5" s="18"/>
      <c r="B5" s="18"/>
      <c r="C5" s="20"/>
      <c r="D5" s="46" t="s">
        <v>84</v>
      </c>
      <c r="E5" s="46" t="s">
        <v>85</v>
      </c>
      <c r="F5" s="46" t="s">
        <v>315</v>
      </c>
      <c r="G5" s="46" t="s">
        <v>86</v>
      </c>
      <c r="H5" s="46" t="s">
        <v>84</v>
      </c>
      <c r="I5" s="46" t="s">
        <v>85</v>
      </c>
      <c r="J5" s="46" t="s">
        <v>315</v>
      </c>
      <c r="K5" s="46" t="s">
        <v>86</v>
      </c>
      <c r="L5" s="18"/>
      <c r="M5" s="46" t="s">
        <v>79</v>
      </c>
      <c r="N5" s="64">
        <v>111.1</v>
      </c>
      <c r="O5" s="18"/>
      <c r="P5" s="18"/>
      <c r="Q5" s="18"/>
      <c r="R5" s="18"/>
      <c r="S5" s="18"/>
      <c r="T5" s="18"/>
      <c r="U5" s="5"/>
      <c r="V5" s="5"/>
      <c r="W5" s="5"/>
      <c r="X5" s="5"/>
      <c r="Y5" s="5"/>
    </row>
    <row r="6" spans="1:25" ht="15.6" x14ac:dyDescent="0.3">
      <c r="A6" s="18"/>
      <c r="B6" s="18"/>
      <c r="C6" s="56" t="s">
        <v>83</v>
      </c>
      <c r="D6" s="65">
        <v>6</v>
      </c>
      <c r="E6" s="65">
        <v>5</v>
      </c>
      <c r="F6" s="65">
        <v>6</v>
      </c>
      <c r="G6" s="65">
        <v>11</v>
      </c>
      <c r="H6" s="65">
        <v>5</v>
      </c>
      <c r="I6" s="65">
        <v>9</v>
      </c>
      <c r="J6" s="65">
        <v>9</v>
      </c>
      <c r="K6" s="65">
        <v>8</v>
      </c>
      <c r="L6" s="18"/>
      <c r="M6" s="46" t="s">
        <v>314</v>
      </c>
      <c r="N6" s="65">
        <v>200</v>
      </c>
      <c r="O6" s="18"/>
      <c r="P6" s="18"/>
      <c r="Q6" s="18"/>
      <c r="R6" s="18"/>
      <c r="S6" s="18"/>
      <c r="T6" s="18"/>
      <c r="U6" s="5"/>
      <c r="V6" s="5"/>
      <c r="W6" s="5"/>
      <c r="X6" s="5"/>
      <c r="Y6" s="5"/>
    </row>
    <row r="7" spans="1:25" ht="15.6" x14ac:dyDescent="0.3">
      <c r="A7" s="18"/>
      <c r="B7" s="18"/>
      <c r="C7" s="57" t="s">
        <v>82</v>
      </c>
      <c r="D7" s="65">
        <v>8</v>
      </c>
      <c r="E7" s="65">
        <v>6</v>
      </c>
      <c r="F7" s="65">
        <v>7</v>
      </c>
      <c r="G7" s="65">
        <v>5</v>
      </c>
      <c r="H7" s="65">
        <v>7</v>
      </c>
      <c r="I7" s="65">
        <v>8</v>
      </c>
      <c r="J7" s="65">
        <v>6</v>
      </c>
      <c r="K7" s="65">
        <v>3</v>
      </c>
      <c r="L7" s="18"/>
      <c r="M7" s="46" t="s">
        <v>89</v>
      </c>
      <c r="N7" s="65">
        <v>37</v>
      </c>
      <c r="O7" s="18"/>
      <c r="P7" s="18"/>
      <c r="Q7" s="18"/>
      <c r="R7" s="18"/>
      <c r="S7" s="18"/>
      <c r="T7" s="18"/>
      <c r="U7" s="5"/>
      <c r="V7" s="5"/>
      <c r="W7" s="5"/>
      <c r="X7" s="5"/>
      <c r="Y7" s="5"/>
    </row>
    <row r="8" spans="1:25" ht="15.6" x14ac:dyDescent="0.3">
      <c r="A8" s="18"/>
      <c r="B8" s="18"/>
      <c r="C8" s="58" t="s">
        <v>81</v>
      </c>
      <c r="D8" s="65">
        <v>10</v>
      </c>
      <c r="E8" s="65">
        <v>18</v>
      </c>
      <c r="F8" s="65">
        <v>13</v>
      </c>
      <c r="G8" s="65">
        <v>9</v>
      </c>
      <c r="H8" s="65">
        <v>16</v>
      </c>
      <c r="I8" s="65">
        <v>7</v>
      </c>
      <c r="J8" s="65">
        <v>10</v>
      </c>
      <c r="K8" s="65">
        <v>12</v>
      </c>
      <c r="L8" s="18"/>
      <c r="M8" s="18"/>
      <c r="N8" s="18"/>
      <c r="O8" s="18"/>
      <c r="P8" s="18"/>
      <c r="Q8" s="18"/>
      <c r="R8" s="18"/>
      <c r="S8" s="18"/>
      <c r="T8" s="18"/>
      <c r="U8" s="5"/>
      <c r="V8" s="5"/>
      <c r="W8" s="5"/>
      <c r="X8" s="5"/>
      <c r="Y8" s="5"/>
    </row>
    <row r="9" spans="1:25" ht="15.6" x14ac:dyDescent="0.3">
      <c r="A9" s="18"/>
      <c r="B9" s="18"/>
      <c r="C9" s="59" t="s">
        <v>80</v>
      </c>
      <c r="D9" s="66">
        <v>6</v>
      </c>
      <c r="E9" s="66">
        <v>1</v>
      </c>
      <c r="F9" s="66">
        <v>4</v>
      </c>
      <c r="G9" s="66">
        <v>5</v>
      </c>
      <c r="H9" s="66">
        <v>2</v>
      </c>
      <c r="I9" s="66">
        <v>6</v>
      </c>
      <c r="J9" s="66">
        <v>5</v>
      </c>
      <c r="K9" s="66">
        <v>7</v>
      </c>
      <c r="L9" s="18"/>
      <c r="M9" s="18"/>
      <c r="N9" s="18"/>
      <c r="O9" s="18"/>
      <c r="P9" s="18"/>
      <c r="Q9" s="18"/>
      <c r="R9" s="18"/>
      <c r="S9" s="18"/>
      <c r="T9" s="18"/>
      <c r="U9" s="5"/>
      <c r="V9" s="5"/>
      <c r="W9" s="5"/>
      <c r="X9" s="5"/>
      <c r="Y9" s="5"/>
    </row>
    <row r="10" spans="1:25" x14ac:dyDescent="0.3">
      <c r="A10" s="18"/>
      <c r="B10" s="18"/>
      <c r="C10" s="18"/>
      <c r="D10" s="18"/>
      <c r="E10" s="18"/>
      <c r="F10" s="18"/>
      <c r="G10" s="18"/>
      <c r="H10" s="18"/>
      <c r="I10" s="18"/>
      <c r="J10" s="18"/>
      <c r="K10" s="18"/>
      <c r="L10" s="18"/>
      <c r="M10" s="18"/>
      <c r="N10" s="18"/>
      <c r="O10" s="18"/>
      <c r="P10" s="18"/>
      <c r="Q10" s="18"/>
      <c r="R10" s="18"/>
      <c r="S10" s="18"/>
      <c r="T10" s="18"/>
      <c r="U10" s="5"/>
      <c r="V10" s="5"/>
      <c r="W10" s="5"/>
      <c r="X10" s="5"/>
      <c r="Y10" s="5"/>
    </row>
    <row r="11" spans="1:25" x14ac:dyDescent="0.3">
      <c r="A11" s="142" t="s">
        <v>300</v>
      </c>
      <c r="B11" s="18"/>
      <c r="C11" s="18"/>
      <c r="D11" s="18"/>
      <c r="E11" s="18"/>
      <c r="F11" s="18"/>
      <c r="G11" s="18"/>
      <c r="H11" s="18"/>
      <c r="I11" s="18"/>
      <c r="J11" s="18"/>
      <c r="K11" s="18"/>
      <c r="L11" s="18"/>
      <c r="M11" s="18"/>
      <c r="N11" s="18"/>
      <c r="O11" s="18"/>
      <c r="P11" s="18"/>
      <c r="Q11" s="18"/>
      <c r="R11" s="18"/>
      <c r="S11" s="18"/>
      <c r="T11" s="18"/>
      <c r="U11" s="5"/>
      <c r="V11" s="5"/>
      <c r="W11" s="5"/>
      <c r="X11" s="5"/>
      <c r="Y11" s="5"/>
    </row>
    <row r="12" spans="1:25" x14ac:dyDescent="0.3">
      <c r="A12" s="142"/>
      <c r="B12" s="18"/>
      <c r="C12" s="18"/>
      <c r="D12" s="18"/>
      <c r="E12" s="18"/>
      <c r="F12" s="18"/>
      <c r="G12" s="18"/>
      <c r="H12" s="18"/>
      <c r="I12" s="18"/>
      <c r="J12" s="18"/>
      <c r="K12" s="18"/>
      <c r="L12" s="18"/>
      <c r="M12" s="18"/>
      <c r="N12" s="18"/>
      <c r="O12" s="18"/>
      <c r="P12" s="18"/>
      <c r="Q12" s="18"/>
      <c r="R12" s="18"/>
      <c r="S12" s="18"/>
      <c r="T12" s="18"/>
      <c r="U12" s="5"/>
      <c r="V12" s="5"/>
      <c r="W12" s="5"/>
      <c r="X12" s="5"/>
      <c r="Y12" s="5"/>
    </row>
    <row r="13" spans="1:25" ht="28.8" x14ac:dyDescent="0.3">
      <c r="A13" s="143"/>
      <c r="B13" s="18"/>
      <c r="C13" s="61" t="s">
        <v>274</v>
      </c>
      <c r="D13" s="61" t="s">
        <v>275</v>
      </c>
      <c r="E13" s="61" t="s">
        <v>276</v>
      </c>
      <c r="F13" s="61" t="s">
        <v>320</v>
      </c>
      <c r="G13" s="61" t="s">
        <v>277</v>
      </c>
      <c r="H13" s="61" t="s">
        <v>302</v>
      </c>
      <c r="I13" s="61" t="s">
        <v>303</v>
      </c>
      <c r="J13" s="61" t="s">
        <v>304</v>
      </c>
      <c r="K13" s="61" t="s">
        <v>297</v>
      </c>
      <c r="L13" s="61" t="s">
        <v>298</v>
      </c>
      <c r="M13" s="61" t="s">
        <v>321</v>
      </c>
      <c r="N13" s="61" t="s">
        <v>299</v>
      </c>
      <c r="O13" s="61" t="s">
        <v>305</v>
      </c>
      <c r="P13" s="61" t="s">
        <v>306</v>
      </c>
      <c r="Q13" s="61" t="s">
        <v>307</v>
      </c>
      <c r="R13" s="18"/>
      <c r="S13" s="18"/>
      <c r="T13" s="18"/>
      <c r="U13" s="5"/>
      <c r="V13" s="5"/>
      <c r="W13" s="5"/>
      <c r="X13" s="5"/>
      <c r="Y13" s="5"/>
    </row>
    <row r="14" spans="1:25" x14ac:dyDescent="0.3">
      <c r="A14" s="143"/>
      <c r="B14" s="18"/>
      <c r="C14" s="62" t="s">
        <v>24</v>
      </c>
      <c r="D14" s="65">
        <v>7</v>
      </c>
      <c r="E14" s="65">
        <v>22</v>
      </c>
      <c r="F14" s="65">
        <v>27</v>
      </c>
      <c r="G14" s="65">
        <v>18</v>
      </c>
      <c r="H14" s="67">
        <v>27</v>
      </c>
      <c r="I14" s="67">
        <v>7</v>
      </c>
      <c r="J14" s="67">
        <v>74</v>
      </c>
      <c r="K14" s="65">
        <v>16</v>
      </c>
      <c r="L14" s="65">
        <v>43</v>
      </c>
      <c r="M14" s="65">
        <v>38</v>
      </c>
      <c r="N14" s="65">
        <v>8</v>
      </c>
      <c r="O14" s="67">
        <v>43</v>
      </c>
      <c r="P14" s="67">
        <v>8</v>
      </c>
      <c r="Q14" s="67">
        <v>105</v>
      </c>
      <c r="R14" s="18"/>
      <c r="S14" s="18"/>
      <c r="T14" s="18"/>
      <c r="U14" s="5"/>
      <c r="V14" s="5"/>
      <c r="W14" s="5"/>
      <c r="X14" s="5"/>
      <c r="Y14" s="5"/>
    </row>
    <row r="15" spans="1:25" x14ac:dyDescent="0.3">
      <c r="A15" s="143"/>
      <c r="B15" s="18"/>
      <c r="C15" s="62" t="s">
        <v>26</v>
      </c>
      <c r="D15" s="65">
        <v>25</v>
      </c>
      <c r="E15" s="65">
        <v>39</v>
      </c>
      <c r="F15" s="65">
        <v>23</v>
      </c>
      <c r="G15" s="65">
        <v>34</v>
      </c>
      <c r="H15" s="67">
        <v>39</v>
      </c>
      <c r="I15" s="67">
        <v>23</v>
      </c>
      <c r="J15" s="67">
        <v>121</v>
      </c>
      <c r="K15" s="65">
        <v>18</v>
      </c>
      <c r="L15" s="65">
        <v>2</v>
      </c>
      <c r="M15" s="65">
        <v>11</v>
      </c>
      <c r="N15" s="65">
        <v>39</v>
      </c>
      <c r="O15" s="67">
        <v>39</v>
      </c>
      <c r="P15" s="67">
        <v>2</v>
      </c>
      <c r="Q15" s="67">
        <v>70</v>
      </c>
      <c r="R15" s="18"/>
      <c r="S15" s="18"/>
      <c r="T15" s="18"/>
      <c r="U15" s="5"/>
      <c r="V15" s="5"/>
      <c r="W15" s="5"/>
      <c r="X15" s="5"/>
      <c r="Y15" s="5"/>
    </row>
    <row r="16" spans="1:25" x14ac:dyDescent="0.3">
      <c r="A16" s="143"/>
      <c r="B16" s="18"/>
      <c r="C16" s="62" t="s">
        <v>50</v>
      </c>
      <c r="D16" s="65">
        <v>37</v>
      </c>
      <c r="E16" s="65">
        <v>48</v>
      </c>
      <c r="F16" s="65">
        <v>3</v>
      </c>
      <c r="G16" s="65">
        <v>14</v>
      </c>
      <c r="H16" s="67">
        <v>48</v>
      </c>
      <c r="I16" s="67">
        <v>3</v>
      </c>
      <c r="J16" s="67">
        <v>102</v>
      </c>
      <c r="K16" s="65">
        <v>46</v>
      </c>
      <c r="L16" s="65">
        <v>36</v>
      </c>
      <c r="M16" s="65">
        <v>41</v>
      </c>
      <c r="N16" s="65">
        <v>42</v>
      </c>
      <c r="O16" s="67">
        <v>46</v>
      </c>
      <c r="P16" s="67">
        <v>36</v>
      </c>
      <c r="Q16" s="67">
        <v>165</v>
      </c>
      <c r="R16" s="18"/>
      <c r="S16" s="18"/>
      <c r="T16" s="18"/>
      <c r="U16" s="5"/>
      <c r="V16" s="5"/>
      <c r="W16" s="5"/>
      <c r="X16" s="5"/>
      <c r="Y16" s="5"/>
    </row>
    <row r="17" spans="1:25" x14ac:dyDescent="0.3">
      <c r="A17" s="143"/>
      <c r="B17" s="18"/>
      <c r="C17" s="62" t="s">
        <v>69</v>
      </c>
      <c r="D17" s="65">
        <v>6</v>
      </c>
      <c r="E17" s="65">
        <v>26</v>
      </c>
      <c r="F17" s="65">
        <v>17</v>
      </c>
      <c r="G17" s="65">
        <v>3</v>
      </c>
      <c r="H17" s="67">
        <v>26</v>
      </c>
      <c r="I17" s="67">
        <v>3</v>
      </c>
      <c r="J17" s="67">
        <v>52</v>
      </c>
      <c r="K17" s="65">
        <v>14</v>
      </c>
      <c r="L17" s="65">
        <v>28</v>
      </c>
      <c r="M17" s="65">
        <v>18</v>
      </c>
      <c r="N17" s="65">
        <v>44</v>
      </c>
      <c r="O17" s="67">
        <v>44</v>
      </c>
      <c r="P17" s="67">
        <v>14</v>
      </c>
      <c r="Q17" s="67">
        <v>104</v>
      </c>
      <c r="R17" s="18"/>
      <c r="S17" s="18"/>
      <c r="T17" s="18"/>
      <c r="U17" s="5"/>
      <c r="V17" s="5"/>
      <c r="W17" s="5"/>
      <c r="X17" s="5"/>
      <c r="Y17" s="5"/>
    </row>
    <row r="18" spans="1:25" x14ac:dyDescent="0.3">
      <c r="A18" s="143"/>
      <c r="B18" s="18"/>
      <c r="C18" s="62" t="s">
        <v>68</v>
      </c>
      <c r="D18" s="65">
        <v>12</v>
      </c>
      <c r="E18" s="65">
        <v>17</v>
      </c>
      <c r="F18" s="65">
        <v>34</v>
      </c>
      <c r="G18" s="65">
        <v>47</v>
      </c>
      <c r="H18" s="67">
        <v>47</v>
      </c>
      <c r="I18" s="67">
        <v>12</v>
      </c>
      <c r="J18" s="67">
        <v>110</v>
      </c>
      <c r="K18" s="65">
        <v>33</v>
      </c>
      <c r="L18" s="65">
        <v>1</v>
      </c>
      <c r="M18" s="65">
        <v>4</v>
      </c>
      <c r="N18" s="65">
        <v>12</v>
      </c>
      <c r="O18" s="67">
        <v>33</v>
      </c>
      <c r="P18" s="67">
        <v>1</v>
      </c>
      <c r="Q18" s="67">
        <v>50</v>
      </c>
      <c r="R18" s="18"/>
      <c r="S18" s="18"/>
      <c r="T18" s="18"/>
      <c r="U18" s="5"/>
      <c r="V18" s="5"/>
      <c r="W18" s="5"/>
      <c r="X18" s="5"/>
      <c r="Y18" s="5"/>
    </row>
    <row r="19" spans="1:25" x14ac:dyDescent="0.3">
      <c r="A19" s="143"/>
      <c r="B19" s="18"/>
      <c r="C19" s="62" t="s">
        <v>14</v>
      </c>
      <c r="D19" s="65">
        <v>49</v>
      </c>
      <c r="E19" s="65">
        <v>31</v>
      </c>
      <c r="F19" s="65">
        <v>26</v>
      </c>
      <c r="G19" s="65">
        <v>40</v>
      </c>
      <c r="H19" s="67">
        <v>49</v>
      </c>
      <c r="I19" s="67">
        <v>26</v>
      </c>
      <c r="J19" s="67">
        <v>146</v>
      </c>
      <c r="K19" s="65">
        <v>17</v>
      </c>
      <c r="L19" s="65">
        <v>34</v>
      </c>
      <c r="M19" s="65">
        <v>24</v>
      </c>
      <c r="N19" s="65">
        <v>6</v>
      </c>
      <c r="O19" s="67">
        <v>34</v>
      </c>
      <c r="P19" s="67">
        <v>6</v>
      </c>
      <c r="Q19" s="67">
        <v>81</v>
      </c>
      <c r="R19" s="18"/>
      <c r="S19" s="18"/>
      <c r="T19" s="18"/>
      <c r="U19" s="5"/>
      <c r="V19" s="5"/>
      <c r="W19" s="5"/>
      <c r="X19" s="5"/>
      <c r="Y19" s="5"/>
    </row>
    <row r="20" spans="1:25" x14ac:dyDescent="0.3">
      <c r="A20" s="143"/>
      <c r="B20" s="18"/>
      <c r="C20" s="62" t="s">
        <v>43</v>
      </c>
      <c r="D20" s="65">
        <v>50</v>
      </c>
      <c r="E20" s="65">
        <v>50</v>
      </c>
      <c r="F20" s="65">
        <v>50</v>
      </c>
      <c r="G20" s="65">
        <v>50</v>
      </c>
      <c r="H20" s="67">
        <v>50</v>
      </c>
      <c r="I20" s="67">
        <v>50</v>
      </c>
      <c r="J20" s="67">
        <v>200</v>
      </c>
      <c r="K20" s="65">
        <v>18</v>
      </c>
      <c r="L20" s="65">
        <v>13</v>
      </c>
      <c r="M20" s="65">
        <v>14</v>
      </c>
      <c r="N20" s="65">
        <v>29</v>
      </c>
      <c r="O20" s="67">
        <v>29</v>
      </c>
      <c r="P20" s="67">
        <v>13</v>
      </c>
      <c r="Q20" s="67">
        <v>74</v>
      </c>
      <c r="R20" s="18"/>
      <c r="S20" s="18"/>
      <c r="T20" s="18"/>
      <c r="U20" s="5"/>
      <c r="V20" s="5"/>
      <c r="W20" s="5"/>
      <c r="X20" s="5"/>
      <c r="Y20" s="5"/>
    </row>
    <row r="21" spans="1:25" x14ac:dyDescent="0.3">
      <c r="A21" s="143"/>
      <c r="B21" s="18"/>
      <c r="C21" s="62" t="s">
        <v>51</v>
      </c>
      <c r="D21" s="65">
        <v>4</v>
      </c>
      <c r="E21" s="65">
        <v>35</v>
      </c>
      <c r="F21" s="65">
        <v>40</v>
      </c>
      <c r="G21" s="65">
        <v>16</v>
      </c>
      <c r="H21" s="67">
        <v>40</v>
      </c>
      <c r="I21" s="67">
        <v>4</v>
      </c>
      <c r="J21" s="67">
        <v>95</v>
      </c>
      <c r="K21" s="65">
        <v>38</v>
      </c>
      <c r="L21" s="65">
        <v>40</v>
      </c>
      <c r="M21" s="65">
        <v>38</v>
      </c>
      <c r="N21" s="65">
        <v>26</v>
      </c>
      <c r="O21" s="67">
        <v>40</v>
      </c>
      <c r="P21" s="67">
        <v>26</v>
      </c>
      <c r="Q21" s="67">
        <v>142</v>
      </c>
      <c r="R21" s="18"/>
      <c r="S21" s="18"/>
      <c r="T21" s="18"/>
      <c r="U21" s="5"/>
      <c r="V21" s="5"/>
      <c r="W21" s="5"/>
      <c r="X21" s="5"/>
      <c r="Y21" s="5"/>
    </row>
    <row r="22" spans="1:25" x14ac:dyDescent="0.3">
      <c r="A22" s="143"/>
      <c r="B22" s="18"/>
      <c r="C22" s="62" t="s">
        <v>41</v>
      </c>
      <c r="D22" s="65">
        <v>4</v>
      </c>
      <c r="E22" s="65">
        <v>24</v>
      </c>
      <c r="F22" s="65">
        <v>36</v>
      </c>
      <c r="G22" s="65">
        <v>17</v>
      </c>
      <c r="H22" s="67">
        <v>36</v>
      </c>
      <c r="I22" s="67">
        <v>4</v>
      </c>
      <c r="J22" s="67">
        <v>81</v>
      </c>
      <c r="K22" s="65">
        <v>31</v>
      </c>
      <c r="L22" s="65">
        <v>31</v>
      </c>
      <c r="M22" s="65">
        <v>46</v>
      </c>
      <c r="N22" s="65">
        <v>20</v>
      </c>
      <c r="O22" s="67">
        <v>46</v>
      </c>
      <c r="P22" s="67">
        <v>20</v>
      </c>
      <c r="Q22" s="67">
        <v>128</v>
      </c>
      <c r="R22" s="18"/>
      <c r="S22" s="18"/>
      <c r="T22" s="18"/>
      <c r="U22" s="5"/>
      <c r="V22" s="5"/>
      <c r="W22" s="5"/>
      <c r="X22" s="5"/>
      <c r="Y22" s="5"/>
    </row>
    <row r="23" spans="1:25" x14ac:dyDescent="0.3">
      <c r="A23" s="143"/>
      <c r="B23" s="18"/>
      <c r="C23" s="62" t="s">
        <v>48</v>
      </c>
      <c r="D23" s="65">
        <v>44</v>
      </c>
      <c r="E23" s="65">
        <v>14</v>
      </c>
      <c r="F23" s="65">
        <v>23</v>
      </c>
      <c r="G23" s="65">
        <v>50</v>
      </c>
      <c r="H23" s="67">
        <v>50</v>
      </c>
      <c r="I23" s="67">
        <v>14</v>
      </c>
      <c r="J23" s="67">
        <v>131</v>
      </c>
      <c r="K23" s="65">
        <v>29</v>
      </c>
      <c r="L23" s="65">
        <v>7</v>
      </c>
      <c r="M23" s="65">
        <v>38</v>
      </c>
      <c r="N23" s="65">
        <v>18</v>
      </c>
      <c r="O23" s="67">
        <v>38</v>
      </c>
      <c r="P23" s="67">
        <v>7</v>
      </c>
      <c r="Q23" s="67">
        <v>92</v>
      </c>
      <c r="R23" s="18"/>
      <c r="S23" s="18"/>
      <c r="T23" s="18"/>
      <c r="U23" s="5"/>
      <c r="V23" s="5"/>
      <c r="W23" s="5"/>
      <c r="X23" s="5"/>
      <c r="Y23" s="5"/>
    </row>
    <row r="24" spans="1:25" x14ac:dyDescent="0.3">
      <c r="A24" s="143"/>
      <c r="B24" s="18"/>
      <c r="C24" s="62" t="s">
        <v>17</v>
      </c>
      <c r="D24" s="65">
        <v>7</v>
      </c>
      <c r="E24" s="65">
        <v>25</v>
      </c>
      <c r="F24" s="65">
        <v>38</v>
      </c>
      <c r="G24" s="65">
        <v>37</v>
      </c>
      <c r="H24" s="67">
        <v>38</v>
      </c>
      <c r="I24" s="67">
        <v>7</v>
      </c>
      <c r="J24" s="67">
        <v>107</v>
      </c>
      <c r="K24" s="65">
        <v>19</v>
      </c>
      <c r="L24" s="65">
        <v>50</v>
      </c>
      <c r="M24" s="65">
        <v>34</v>
      </c>
      <c r="N24" s="65">
        <v>24</v>
      </c>
      <c r="O24" s="67">
        <v>50</v>
      </c>
      <c r="P24" s="67">
        <v>19</v>
      </c>
      <c r="Q24" s="67">
        <v>127</v>
      </c>
      <c r="R24" s="18"/>
      <c r="S24" s="18"/>
      <c r="T24" s="18"/>
      <c r="U24" s="5"/>
      <c r="V24" s="5"/>
      <c r="W24" s="5"/>
      <c r="X24" s="5"/>
      <c r="Y24" s="5"/>
    </row>
    <row r="25" spans="1:25" x14ac:dyDescent="0.3">
      <c r="A25" s="143"/>
      <c r="B25" s="18"/>
      <c r="C25" s="62" t="s">
        <v>20</v>
      </c>
      <c r="D25" s="65">
        <v>22</v>
      </c>
      <c r="E25" s="65">
        <v>14</v>
      </c>
      <c r="F25" s="65">
        <v>25</v>
      </c>
      <c r="G25" s="65">
        <v>46</v>
      </c>
      <c r="H25" s="67">
        <v>46</v>
      </c>
      <c r="I25" s="67">
        <v>14</v>
      </c>
      <c r="J25" s="67">
        <v>107</v>
      </c>
      <c r="K25" s="65">
        <v>32</v>
      </c>
      <c r="L25" s="65">
        <v>49</v>
      </c>
      <c r="M25" s="65">
        <v>48</v>
      </c>
      <c r="N25" s="65">
        <v>44</v>
      </c>
      <c r="O25" s="67">
        <v>49</v>
      </c>
      <c r="P25" s="67">
        <v>32</v>
      </c>
      <c r="Q25" s="67">
        <v>173</v>
      </c>
      <c r="R25" s="18"/>
      <c r="S25" s="18"/>
      <c r="T25" s="18"/>
      <c r="U25" s="5"/>
      <c r="V25" s="5"/>
      <c r="W25" s="5"/>
      <c r="X25" s="5"/>
      <c r="Y25" s="5"/>
    </row>
    <row r="26" spans="1:25" x14ac:dyDescent="0.3">
      <c r="A26" s="143"/>
      <c r="B26" s="18"/>
      <c r="C26" s="62" t="s">
        <v>18</v>
      </c>
      <c r="D26" s="65">
        <v>22</v>
      </c>
      <c r="E26" s="65">
        <v>24</v>
      </c>
      <c r="F26" s="65">
        <v>30</v>
      </c>
      <c r="G26" s="65">
        <v>48</v>
      </c>
      <c r="H26" s="67">
        <v>48</v>
      </c>
      <c r="I26" s="67">
        <v>22</v>
      </c>
      <c r="J26" s="67">
        <v>124</v>
      </c>
      <c r="K26" s="65">
        <v>13</v>
      </c>
      <c r="L26" s="65">
        <v>34</v>
      </c>
      <c r="M26" s="65">
        <v>10</v>
      </c>
      <c r="N26" s="65">
        <v>45</v>
      </c>
      <c r="O26" s="67">
        <v>45</v>
      </c>
      <c r="P26" s="67">
        <v>10</v>
      </c>
      <c r="Q26" s="67">
        <v>102</v>
      </c>
      <c r="R26" s="18"/>
      <c r="S26" s="18"/>
      <c r="T26" s="18"/>
      <c r="U26" s="5"/>
      <c r="V26" s="5"/>
      <c r="W26" s="5"/>
      <c r="X26" s="5"/>
      <c r="Y26" s="5"/>
    </row>
    <row r="27" spans="1:25" x14ac:dyDescent="0.3">
      <c r="A27" s="143"/>
      <c r="B27" s="18"/>
      <c r="C27" s="62" t="s">
        <v>22</v>
      </c>
      <c r="D27" s="65">
        <v>40</v>
      </c>
      <c r="E27" s="65">
        <v>50</v>
      </c>
      <c r="F27" s="65">
        <v>27</v>
      </c>
      <c r="G27" s="65">
        <v>9</v>
      </c>
      <c r="H27" s="67">
        <v>50</v>
      </c>
      <c r="I27" s="67">
        <v>9</v>
      </c>
      <c r="J27" s="67">
        <v>126</v>
      </c>
      <c r="K27" s="65">
        <v>43</v>
      </c>
      <c r="L27" s="65">
        <v>5</v>
      </c>
      <c r="M27" s="65">
        <v>7</v>
      </c>
      <c r="N27" s="65">
        <v>40</v>
      </c>
      <c r="O27" s="67">
        <v>43</v>
      </c>
      <c r="P27" s="67">
        <v>5</v>
      </c>
      <c r="Q27" s="67">
        <v>95</v>
      </c>
      <c r="R27" s="18"/>
      <c r="S27" s="18"/>
      <c r="T27" s="18"/>
      <c r="U27" s="5"/>
      <c r="V27" s="5"/>
      <c r="W27" s="5"/>
      <c r="X27" s="5"/>
      <c r="Y27" s="5"/>
    </row>
    <row r="28" spans="1:25" x14ac:dyDescent="0.3">
      <c r="A28" s="143"/>
      <c r="B28" s="18"/>
      <c r="C28" s="62" t="s">
        <v>49</v>
      </c>
      <c r="D28" s="65">
        <v>50</v>
      </c>
      <c r="E28" s="65">
        <v>30</v>
      </c>
      <c r="F28" s="65">
        <v>41</v>
      </c>
      <c r="G28" s="65">
        <v>43</v>
      </c>
      <c r="H28" s="67">
        <v>50</v>
      </c>
      <c r="I28" s="67">
        <v>30</v>
      </c>
      <c r="J28" s="67">
        <v>164</v>
      </c>
      <c r="K28" s="65">
        <v>12</v>
      </c>
      <c r="L28" s="65">
        <v>49</v>
      </c>
      <c r="M28" s="65">
        <v>8</v>
      </c>
      <c r="N28" s="65">
        <v>5</v>
      </c>
      <c r="O28" s="67">
        <v>49</v>
      </c>
      <c r="P28" s="67">
        <v>5</v>
      </c>
      <c r="Q28" s="67">
        <v>74</v>
      </c>
      <c r="R28" s="18"/>
      <c r="S28" s="18"/>
      <c r="T28" s="18"/>
      <c r="U28" s="5"/>
      <c r="V28" s="5"/>
      <c r="W28" s="5"/>
      <c r="X28" s="5"/>
      <c r="Y28" s="5"/>
    </row>
    <row r="29" spans="1:25" x14ac:dyDescent="0.3">
      <c r="A29" s="143"/>
      <c r="B29" s="18"/>
      <c r="C29" s="62" t="s">
        <v>19</v>
      </c>
      <c r="D29" s="65">
        <v>33</v>
      </c>
      <c r="E29" s="65">
        <v>28</v>
      </c>
      <c r="F29" s="65">
        <v>24</v>
      </c>
      <c r="G29" s="65">
        <v>47</v>
      </c>
      <c r="H29" s="67">
        <v>47</v>
      </c>
      <c r="I29" s="67">
        <v>24</v>
      </c>
      <c r="J29" s="67">
        <v>132</v>
      </c>
      <c r="K29" s="65">
        <v>45</v>
      </c>
      <c r="L29" s="65">
        <v>18</v>
      </c>
      <c r="M29" s="65">
        <v>37</v>
      </c>
      <c r="N29" s="65">
        <v>19</v>
      </c>
      <c r="O29" s="67">
        <v>45</v>
      </c>
      <c r="P29" s="67">
        <v>18</v>
      </c>
      <c r="Q29" s="67">
        <v>119</v>
      </c>
      <c r="R29" s="18"/>
      <c r="S29" s="18"/>
      <c r="T29" s="18"/>
      <c r="U29" s="5"/>
      <c r="V29" s="5"/>
      <c r="W29" s="5"/>
      <c r="X29" s="5"/>
      <c r="Y29" s="5"/>
    </row>
    <row r="30" spans="1:25" x14ac:dyDescent="0.3">
      <c r="A30" s="143"/>
      <c r="B30" s="18"/>
      <c r="C30" s="62" t="s">
        <v>65</v>
      </c>
      <c r="D30" s="65">
        <v>30</v>
      </c>
      <c r="E30" s="65">
        <v>26</v>
      </c>
      <c r="F30" s="65">
        <v>45</v>
      </c>
      <c r="G30" s="65">
        <v>22</v>
      </c>
      <c r="H30" s="67">
        <v>45</v>
      </c>
      <c r="I30" s="67">
        <v>22</v>
      </c>
      <c r="J30" s="67">
        <v>123</v>
      </c>
      <c r="K30" s="65">
        <v>37</v>
      </c>
      <c r="L30" s="65">
        <v>29</v>
      </c>
      <c r="M30" s="65">
        <v>26</v>
      </c>
      <c r="N30" s="65">
        <v>48</v>
      </c>
      <c r="O30" s="67">
        <v>48</v>
      </c>
      <c r="P30" s="67">
        <v>26</v>
      </c>
      <c r="Q30" s="67">
        <v>140</v>
      </c>
      <c r="R30" s="18"/>
      <c r="S30" s="18"/>
      <c r="T30" s="18"/>
      <c r="U30" s="5"/>
      <c r="V30" s="5"/>
      <c r="W30" s="5"/>
      <c r="X30" s="5"/>
      <c r="Y30" s="5"/>
    </row>
    <row r="31" spans="1:25" x14ac:dyDescent="0.3">
      <c r="A31" s="143"/>
      <c r="B31" s="18"/>
      <c r="C31" s="62" t="s">
        <v>66</v>
      </c>
      <c r="D31" s="65">
        <v>34</v>
      </c>
      <c r="E31" s="65">
        <v>2</v>
      </c>
      <c r="F31" s="65">
        <v>38</v>
      </c>
      <c r="G31" s="65">
        <v>36</v>
      </c>
      <c r="H31" s="67">
        <v>38</v>
      </c>
      <c r="I31" s="67">
        <v>2</v>
      </c>
      <c r="J31" s="67">
        <v>110</v>
      </c>
      <c r="K31" s="65">
        <v>19</v>
      </c>
      <c r="L31" s="65">
        <v>47</v>
      </c>
      <c r="M31" s="65">
        <v>42</v>
      </c>
      <c r="N31" s="65">
        <v>18</v>
      </c>
      <c r="O31" s="67">
        <v>47</v>
      </c>
      <c r="P31" s="67">
        <v>18</v>
      </c>
      <c r="Q31" s="67">
        <v>126</v>
      </c>
      <c r="R31" s="18"/>
      <c r="S31" s="18"/>
      <c r="T31" s="18"/>
      <c r="U31" s="5"/>
      <c r="V31" s="5"/>
      <c r="W31" s="5"/>
      <c r="X31" s="5"/>
      <c r="Y31" s="5"/>
    </row>
    <row r="32" spans="1:25" x14ac:dyDescent="0.3">
      <c r="A32" s="143"/>
      <c r="B32" s="18"/>
      <c r="C32" s="62" t="s">
        <v>47</v>
      </c>
      <c r="D32" s="65">
        <v>29</v>
      </c>
      <c r="E32" s="65">
        <v>29</v>
      </c>
      <c r="F32" s="65">
        <v>31</v>
      </c>
      <c r="G32" s="65">
        <v>13</v>
      </c>
      <c r="H32" s="67">
        <v>31</v>
      </c>
      <c r="I32" s="67">
        <v>13</v>
      </c>
      <c r="J32" s="67">
        <v>102</v>
      </c>
      <c r="K32" s="65">
        <v>0</v>
      </c>
      <c r="L32" s="65">
        <v>36</v>
      </c>
      <c r="M32" s="65">
        <v>32</v>
      </c>
      <c r="N32" s="65">
        <v>43</v>
      </c>
      <c r="O32" s="67">
        <v>43</v>
      </c>
      <c r="P32" s="67">
        <v>0</v>
      </c>
      <c r="Q32" s="67">
        <v>111</v>
      </c>
      <c r="R32" s="18"/>
      <c r="S32" s="18"/>
      <c r="T32" s="18"/>
      <c r="U32" s="5"/>
      <c r="V32" s="5"/>
      <c r="W32" s="5"/>
      <c r="X32" s="5"/>
      <c r="Y32" s="5"/>
    </row>
    <row r="33" spans="1:25" x14ac:dyDescent="0.3">
      <c r="A33" s="143"/>
      <c r="B33" s="18"/>
      <c r="C33" s="62" t="s">
        <v>13</v>
      </c>
      <c r="D33" s="65">
        <v>30</v>
      </c>
      <c r="E33" s="65">
        <v>42</v>
      </c>
      <c r="F33" s="65">
        <v>22</v>
      </c>
      <c r="G33" s="65">
        <v>4</v>
      </c>
      <c r="H33" s="67">
        <v>42</v>
      </c>
      <c r="I33" s="67">
        <v>4</v>
      </c>
      <c r="J33" s="67">
        <v>98</v>
      </c>
      <c r="K33" s="65">
        <v>11</v>
      </c>
      <c r="L33" s="65">
        <v>22</v>
      </c>
      <c r="M33" s="65">
        <v>44</v>
      </c>
      <c r="N33" s="65">
        <v>38</v>
      </c>
      <c r="O33" s="67">
        <v>44</v>
      </c>
      <c r="P33" s="67">
        <v>11</v>
      </c>
      <c r="Q33" s="67">
        <v>115</v>
      </c>
      <c r="R33" s="18"/>
      <c r="S33" s="18"/>
      <c r="T33" s="18"/>
      <c r="U33" s="5"/>
      <c r="V33" s="5"/>
      <c r="W33" s="5"/>
      <c r="X33" s="5"/>
      <c r="Y33" s="5"/>
    </row>
    <row r="34" spans="1:25" x14ac:dyDescent="0.3">
      <c r="A34" s="143"/>
      <c r="B34" s="18"/>
      <c r="C34" s="62" t="s">
        <v>21</v>
      </c>
      <c r="D34" s="65">
        <v>34</v>
      </c>
      <c r="E34" s="65">
        <v>37</v>
      </c>
      <c r="F34" s="65">
        <v>47</v>
      </c>
      <c r="G34" s="65">
        <v>44</v>
      </c>
      <c r="H34" s="67">
        <v>47</v>
      </c>
      <c r="I34" s="67">
        <v>34</v>
      </c>
      <c r="J34" s="67">
        <v>162</v>
      </c>
      <c r="K34" s="65">
        <v>7</v>
      </c>
      <c r="L34" s="65">
        <v>49</v>
      </c>
      <c r="M34" s="65">
        <v>25</v>
      </c>
      <c r="N34" s="65">
        <v>34</v>
      </c>
      <c r="O34" s="67">
        <v>49</v>
      </c>
      <c r="P34" s="67">
        <v>7</v>
      </c>
      <c r="Q34" s="67">
        <v>115</v>
      </c>
      <c r="R34" s="18"/>
      <c r="S34" s="18"/>
      <c r="T34" s="18"/>
      <c r="U34" s="5"/>
      <c r="V34" s="5"/>
      <c r="W34" s="5"/>
      <c r="X34" s="5"/>
      <c r="Y34" s="5"/>
    </row>
    <row r="35" spans="1:25" x14ac:dyDescent="0.3">
      <c r="A35" s="143"/>
      <c r="B35" s="18"/>
      <c r="C35" s="62" t="s">
        <v>16</v>
      </c>
      <c r="D35" s="65">
        <v>21</v>
      </c>
      <c r="E35" s="65">
        <v>35</v>
      </c>
      <c r="F35" s="65">
        <v>29</v>
      </c>
      <c r="G35" s="65">
        <v>46</v>
      </c>
      <c r="H35" s="67">
        <v>46</v>
      </c>
      <c r="I35" s="67">
        <v>21</v>
      </c>
      <c r="J35" s="67">
        <v>131</v>
      </c>
      <c r="K35" s="65">
        <v>49</v>
      </c>
      <c r="L35" s="65">
        <v>0</v>
      </c>
      <c r="M35" s="65">
        <v>6</v>
      </c>
      <c r="N35" s="65">
        <v>27</v>
      </c>
      <c r="O35" s="67">
        <v>49</v>
      </c>
      <c r="P35" s="67">
        <v>0</v>
      </c>
      <c r="Q35" s="67">
        <v>82</v>
      </c>
      <c r="R35" s="18"/>
      <c r="S35" s="18"/>
      <c r="T35" s="18"/>
      <c r="U35" s="5"/>
      <c r="V35" s="5"/>
      <c r="W35" s="5"/>
      <c r="X35" s="5"/>
      <c r="Y35" s="5"/>
    </row>
    <row r="36" spans="1:25" x14ac:dyDescent="0.3">
      <c r="A36" s="143"/>
      <c r="B36" s="18"/>
      <c r="C36" s="62" t="s">
        <v>25</v>
      </c>
      <c r="D36" s="65">
        <v>44</v>
      </c>
      <c r="E36" s="65">
        <v>29</v>
      </c>
      <c r="F36" s="65">
        <v>4</v>
      </c>
      <c r="G36" s="65">
        <v>34</v>
      </c>
      <c r="H36" s="67">
        <v>44</v>
      </c>
      <c r="I36" s="67">
        <v>4</v>
      </c>
      <c r="J36" s="67">
        <v>111</v>
      </c>
      <c r="K36" s="65">
        <v>13</v>
      </c>
      <c r="L36" s="65">
        <v>31</v>
      </c>
      <c r="M36" s="65">
        <v>40</v>
      </c>
      <c r="N36" s="65">
        <v>9</v>
      </c>
      <c r="O36" s="67">
        <v>40</v>
      </c>
      <c r="P36" s="67">
        <v>9</v>
      </c>
      <c r="Q36" s="67">
        <v>93</v>
      </c>
      <c r="R36" s="18"/>
      <c r="S36" s="18"/>
      <c r="T36" s="18"/>
      <c r="U36" s="5"/>
      <c r="V36" s="5"/>
      <c r="W36" s="5"/>
      <c r="X36" s="5"/>
      <c r="Y36" s="5"/>
    </row>
    <row r="37" spans="1:25" x14ac:dyDescent="0.3">
      <c r="A37" s="143"/>
      <c r="B37" s="18"/>
      <c r="C37" s="62" t="s">
        <v>23</v>
      </c>
      <c r="D37" s="65">
        <v>27</v>
      </c>
      <c r="E37" s="65">
        <v>23</v>
      </c>
      <c r="F37" s="65">
        <v>27</v>
      </c>
      <c r="G37" s="65">
        <v>28</v>
      </c>
      <c r="H37" s="67">
        <v>28</v>
      </c>
      <c r="I37" s="67">
        <v>23</v>
      </c>
      <c r="J37" s="67">
        <v>105</v>
      </c>
      <c r="K37" s="65">
        <v>16</v>
      </c>
      <c r="L37" s="65">
        <v>36</v>
      </c>
      <c r="M37" s="65">
        <v>44</v>
      </c>
      <c r="N37" s="65">
        <v>0</v>
      </c>
      <c r="O37" s="67">
        <v>44</v>
      </c>
      <c r="P37" s="67">
        <v>0</v>
      </c>
      <c r="Q37" s="67">
        <v>96</v>
      </c>
      <c r="R37" s="18"/>
      <c r="S37" s="18"/>
      <c r="T37" s="18"/>
      <c r="U37" s="5"/>
      <c r="V37" s="5"/>
      <c r="W37" s="5"/>
      <c r="X37" s="5"/>
      <c r="Y37" s="5"/>
    </row>
    <row r="38" spans="1:25" x14ac:dyDescent="0.3">
      <c r="A38" s="143"/>
      <c r="B38" s="18"/>
      <c r="C38" s="62" t="s">
        <v>45</v>
      </c>
      <c r="D38" s="65">
        <v>27</v>
      </c>
      <c r="E38" s="65">
        <v>40</v>
      </c>
      <c r="F38" s="65">
        <v>16</v>
      </c>
      <c r="G38" s="65">
        <v>1</v>
      </c>
      <c r="H38" s="67">
        <v>40</v>
      </c>
      <c r="I38" s="67">
        <v>1</v>
      </c>
      <c r="J38" s="67">
        <v>84</v>
      </c>
      <c r="K38" s="65">
        <v>25</v>
      </c>
      <c r="L38" s="65">
        <v>48</v>
      </c>
      <c r="M38" s="65">
        <v>7</v>
      </c>
      <c r="N38" s="65">
        <v>1</v>
      </c>
      <c r="O38" s="67">
        <v>48</v>
      </c>
      <c r="P38" s="67">
        <v>1</v>
      </c>
      <c r="Q38" s="67">
        <v>81</v>
      </c>
      <c r="R38" s="18"/>
      <c r="S38" s="18"/>
      <c r="T38" s="18"/>
      <c r="U38" s="5"/>
      <c r="V38" s="5"/>
      <c r="W38" s="5"/>
      <c r="X38" s="5"/>
      <c r="Y38" s="5"/>
    </row>
    <row r="39" spans="1:25" x14ac:dyDescent="0.3">
      <c r="A39" s="143"/>
      <c r="B39" s="18"/>
      <c r="C39" s="62" t="s">
        <v>67</v>
      </c>
      <c r="D39" s="65">
        <v>36</v>
      </c>
      <c r="E39" s="65">
        <v>26</v>
      </c>
      <c r="F39" s="65">
        <v>1</v>
      </c>
      <c r="G39" s="65">
        <v>36</v>
      </c>
      <c r="H39" s="67">
        <v>36</v>
      </c>
      <c r="I39" s="67">
        <v>1</v>
      </c>
      <c r="J39" s="67">
        <v>99</v>
      </c>
      <c r="K39" s="65">
        <v>20</v>
      </c>
      <c r="L39" s="65">
        <v>7</v>
      </c>
      <c r="M39" s="65">
        <v>43</v>
      </c>
      <c r="N39" s="65">
        <v>26</v>
      </c>
      <c r="O39" s="67">
        <v>43</v>
      </c>
      <c r="P39" s="67">
        <v>7</v>
      </c>
      <c r="Q39" s="67">
        <v>96</v>
      </c>
      <c r="R39" s="18"/>
      <c r="S39" s="18"/>
      <c r="T39" s="18"/>
      <c r="U39" s="5"/>
      <c r="V39" s="5"/>
      <c r="W39" s="5"/>
      <c r="X39" s="5"/>
      <c r="Y39" s="5"/>
    </row>
    <row r="40" spans="1:25" x14ac:dyDescent="0.3">
      <c r="A40" s="143"/>
      <c r="B40" s="18"/>
      <c r="C40" s="62" t="s">
        <v>42</v>
      </c>
      <c r="D40" s="65">
        <v>2</v>
      </c>
      <c r="E40" s="65">
        <v>20</v>
      </c>
      <c r="F40" s="65">
        <v>5</v>
      </c>
      <c r="G40" s="65">
        <v>10</v>
      </c>
      <c r="H40" s="67">
        <v>20</v>
      </c>
      <c r="I40" s="67">
        <v>2</v>
      </c>
      <c r="J40" s="67">
        <v>37</v>
      </c>
      <c r="K40" s="65">
        <v>47</v>
      </c>
      <c r="L40" s="65">
        <v>13</v>
      </c>
      <c r="M40" s="65">
        <v>14</v>
      </c>
      <c r="N40" s="65">
        <v>46</v>
      </c>
      <c r="O40" s="67">
        <v>47</v>
      </c>
      <c r="P40" s="67">
        <v>13</v>
      </c>
      <c r="Q40" s="67">
        <v>120</v>
      </c>
      <c r="R40" s="18"/>
      <c r="S40" s="18"/>
      <c r="T40" s="18"/>
      <c r="U40" s="5"/>
      <c r="V40" s="5"/>
      <c r="W40" s="5"/>
      <c r="X40" s="5"/>
      <c r="Y40" s="5"/>
    </row>
    <row r="41" spans="1:25" x14ac:dyDescent="0.3">
      <c r="A41" s="143"/>
      <c r="B41" s="18"/>
      <c r="C41" s="62" t="s">
        <v>46</v>
      </c>
      <c r="D41" s="65">
        <v>29</v>
      </c>
      <c r="E41" s="65">
        <v>21</v>
      </c>
      <c r="F41" s="65">
        <v>38</v>
      </c>
      <c r="G41" s="65">
        <v>18</v>
      </c>
      <c r="H41" s="67">
        <v>38</v>
      </c>
      <c r="I41" s="67">
        <v>18</v>
      </c>
      <c r="J41" s="67">
        <v>106</v>
      </c>
      <c r="K41" s="65">
        <v>34</v>
      </c>
      <c r="L41" s="65">
        <v>23</v>
      </c>
      <c r="M41" s="65">
        <v>18</v>
      </c>
      <c r="N41" s="65">
        <v>12</v>
      </c>
      <c r="O41" s="67">
        <v>34</v>
      </c>
      <c r="P41" s="67">
        <v>12</v>
      </c>
      <c r="Q41" s="67">
        <v>87</v>
      </c>
      <c r="R41" s="18"/>
      <c r="S41" s="18"/>
      <c r="T41" s="18"/>
      <c r="U41" s="5"/>
      <c r="V41" s="5"/>
      <c r="W41" s="5"/>
      <c r="X41" s="5"/>
      <c r="Y41" s="5"/>
    </row>
    <row r="42" spans="1:25" x14ac:dyDescent="0.3">
      <c r="A42" s="143"/>
      <c r="B42" s="18"/>
      <c r="C42" s="62" t="s">
        <v>15</v>
      </c>
      <c r="D42" s="65">
        <v>33</v>
      </c>
      <c r="E42" s="65">
        <v>15</v>
      </c>
      <c r="F42" s="65">
        <v>42</v>
      </c>
      <c r="G42" s="65">
        <v>3</v>
      </c>
      <c r="H42" s="67">
        <v>42</v>
      </c>
      <c r="I42" s="67">
        <v>3</v>
      </c>
      <c r="J42" s="67">
        <v>93</v>
      </c>
      <c r="K42" s="65">
        <v>30</v>
      </c>
      <c r="L42" s="65">
        <v>36</v>
      </c>
      <c r="M42" s="65">
        <v>47</v>
      </c>
      <c r="N42" s="65">
        <v>1</v>
      </c>
      <c r="O42" s="67">
        <v>47</v>
      </c>
      <c r="P42" s="67">
        <v>1</v>
      </c>
      <c r="Q42" s="67">
        <v>114</v>
      </c>
      <c r="R42" s="18"/>
      <c r="S42" s="18"/>
      <c r="T42" s="18"/>
      <c r="U42" s="5"/>
      <c r="V42" s="5"/>
      <c r="W42" s="5"/>
      <c r="X42" s="5"/>
      <c r="Y42" s="5"/>
    </row>
    <row r="43" spans="1:25" x14ac:dyDescent="0.3">
      <c r="A43" s="143"/>
      <c r="B43" s="18"/>
      <c r="C43" s="62" t="s">
        <v>44</v>
      </c>
      <c r="D43" s="65">
        <v>17</v>
      </c>
      <c r="E43" s="65">
        <v>12</v>
      </c>
      <c r="F43" s="65">
        <v>27</v>
      </c>
      <c r="G43" s="65">
        <v>44</v>
      </c>
      <c r="H43" s="67">
        <v>44</v>
      </c>
      <c r="I43" s="67">
        <v>12</v>
      </c>
      <c r="J43" s="67">
        <v>100</v>
      </c>
      <c r="K43" s="65">
        <v>23</v>
      </c>
      <c r="L43" s="65">
        <v>42</v>
      </c>
      <c r="M43" s="65">
        <v>22</v>
      </c>
      <c r="N43" s="65">
        <v>17</v>
      </c>
      <c r="O43" s="67">
        <v>42</v>
      </c>
      <c r="P43" s="67">
        <v>17</v>
      </c>
      <c r="Q43" s="67">
        <v>104</v>
      </c>
      <c r="R43" s="18"/>
      <c r="S43" s="18"/>
      <c r="T43" s="18"/>
      <c r="U43" s="5"/>
      <c r="V43" s="5"/>
      <c r="W43" s="5"/>
      <c r="X43" s="5"/>
      <c r="Y43" s="5"/>
    </row>
    <row r="44" spans="1:25" x14ac:dyDescent="0.3">
      <c r="A44" s="143"/>
      <c r="B44" s="18"/>
      <c r="C44" s="63" t="s">
        <v>279</v>
      </c>
      <c r="D44" s="68">
        <v>805</v>
      </c>
      <c r="E44" s="68">
        <v>834</v>
      </c>
      <c r="F44" s="68">
        <v>836</v>
      </c>
      <c r="G44" s="68">
        <v>858</v>
      </c>
      <c r="H44" s="68">
        <v>1232</v>
      </c>
      <c r="I44" s="68">
        <v>412</v>
      </c>
      <c r="J44" s="68">
        <v>3333</v>
      </c>
      <c r="K44" s="68">
        <v>755</v>
      </c>
      <c r="L44" s="68">
        <v>859</v>
      </c>
      <c r="M44" s="68">
        <v>826</v>
      </c>
      <c r="N44" s="68">
        <v>741</v>
      </c>
      <c r="O44" s="68">
        <v>1298</v>
      </c>
      <c r="P44" s="68">
        <v>344</v>
      </c>
      <c r="Q44" s="68">
        <v>3181</v>
      </c>
      <c r="R44" s="18"/>
      <c r="S44" s="18"/>
      <c r="T44" s="18"/>
      <c r="U44" s="5"/>
      <c r="V44" s="5"/>
      <c r="W44" s="5"/>
      <c r="X44" s="5"/>
      <c r="Y44" s="5"/>
    </row>
    <row r="45" spans="1:25" x14ac:dyDescent="0.3">
      <c r="A45" s="143"/>
      <c r="B45" s="18"/>
      <c r="C45" s="18"/>
      <c r="D45" s="18"/>
      <c r="E45" s="18"/>
      <c r="F45" s="18"/>
      <c r="G45" s="18"/>
      <c r="H45" s="18"/>
      <c r="I45" s="18"/>
      <c r="J45" s="18"/>
      <c r="K45" s="18"/>
      <c r="L45" s="18"/>
      <c r="M45" s="18"/>
      <c r="N45" s="18"/>
      <c r="O45" s="18"/>
      <c r="P45" s="18"/>
      <c r="Q45" s="18"/>
      <c r="R45" s="18"/>
      <c r="S45" s="18"/>
      <c r="T45" s="18"/>
      <c r="U45" s="5"/>
      <c r="V45" s="5"/>
      <c r="W45" s="5"/>
      <c r="X45" s="5"/>
      <c r="Y45" s="5"/>
    </row>
    <row r="46" spans="1:25" x14ac:dyDescent="0.3">
      <c r="A46" s="143"/>
      <c r="B46" s="18"/>
      <c r="C46" s="18"/>
      <c r="D46" s="18"/>
      <c r="E46" s="18"/>
      <c r="F46" s="18"/>
      <c r="G46" s="18"/>
      <c r="H46" s="18"/>
      <c r="I46" s="18"/>
      <c r="J46" s="18"/>
      <c r="K46" s="18"/>
      <c r="L46" s="18"/>
      <c r="M46" s="18"/>
      <c r="N46" s="18"/>
      <c r="O46" s="18"/>
      <c r="P46" s="18"/>
      <c r="Q46" s="18"/>
      <c r="R46" s="18"/>
      <c r="S46" s="18"/>
      <c r="T46" s="18"/>
      <c r="U46" s="5"/>
      <c r="V46" s="5"/>
      <c r="W46" s="5"/>
      <c r="X46" s="5"/>
      <c r="Y46" s="5"/>
    </row>
    <row r="47" spans="1:25" x14ac:dyDescent="0.3">
      <c r="A47" s="143"/>
      <c r="B47" s="18"/>
      <c r="C47" s="18"/>
      <c r="D47" s="18"/>
      <c r="E47" s="18"/>
      <c r="F47" s="18"/>
      <c r="G47" s="18"/>
      <c r="H47" s="18"/>
      <c r="I47" s="18"/>
      <c r="J47" s="18"/>
      <c r="K47" s="18"/>
      <c r="L47" s="18"/>
      <c r="M47" s="18"/>
      <c r="N47" s="18"/>
      <c r="O47" s="18"/>
      <c r="P47" s="18"/>
      <c r="Q47" s="18"/>
      <c r="R47" s="18"/>
      <c r="S47" s="18"/>
      <c r="T47" s="18"/>
      <c r="U47" s="5"/>
      <c r="V47" s="5"/>
      <c r="W47" s="5"/>
      <c r="X47" s="5"/>
      <c r="Y47" s="5"/>
    </row>
    <row r="48" spans="1:25" x14ac:dyDescent="0.3">
      <c r="A48" s="44"/>
      <c r="B48" s="18"/>
      <c r="C48" s="18"/>
      <c r="D48" s="18"/>
      <c r="E48" s="18"/>
      <c r="F48" s="18"/>
      <c r="G48" s="18"/>
      <c r="H48" s="18"/>
      <c r="I48" s="18"/>
      <c r="J48" s="18"/>
      <c r="K48" s="18"/>
      <c r="L48" s="18"/>
      <c r="M48" s="18"/>
      <c r="N48" s="18"/>
      <c r="O48" s="18"/>
      <c r="P48" s="18"/>
      <c r="Q48" s="18"/>
      <c r="R48" s="18"/>
      <c r="S48" s="18"/>
      <c r="T48" s="18"/>
      <c r="U48" s="5"/>
      <c r="V48" s="5"/>
      <c r="W48" s="5"/>
      <c r="X48" s="5"/>
      <c r="Y48" s="5"/>
    </row>
    <row r="49" spans="1:25" x14ac:dyDescent="0.3">
      <c r="A49" s="18"/>
      <c r="B49" s="18"/>
      <c r="C49" s="18"/>
      <c r="D49" s="18"/>
      <c r="E49" s="18"/>
      <c r="F49" s="18"/>
      <c r="G49" s="18"/>
      <c r="H49" s="18"/>
      <c r="I49" s="18"/>
      <c r="J49" s="18"/>
      <c r="K49" s="18"/>
      <c r="L49" s="18"/>
      <c r="M49" s="18"/>
      <c r="N49" s="18"/>
      <c r="O49" s="18"/>
      <c r="P49" s="18"/>
      <c r="Q49" s="18"/>
      <c r="R49" s="18"/>
      <c r="S49" s="18"/>
      <c r="T49" s="18"/>
      <c r="U49" s="5"/>
      <c r="V49" s="5"/>
      <c r="W49" s="5"/>
      <c r="X49" s="5"/>
      <c r="Y49" s="5"/>
    </row>
    <row r="50" spans="1:25" x14ac:dyDescent="0.3">
      <c r="A50" s="18"/>
      <c r="B50" s="18"/>
      <c r="C50" s="18"/>
      <c r="D50" s="18"/>
      <c r="E50" s="18"/>
      <c r="F50" s="18"/>
      <c r="G50" s="18"/>
      <c r="H50" s="18"/>
      <c r="I50" s="18"/>
      <c r="J50" s="18"/>
      <c r="K50" s="18"/>
      <c r="L50" s="18"/>
      <c r="M50" s="18"/>
      <c r="N50" s="18"/>
      <c r="O50" s="18"/>
      <c r="P50" s="18"/>
      <c r="Q50" s="18"/>
      <c r="R50" s="18"/>
      <c r="S50" s="18"/>
      <c r="T50" s="18"/>
      <c r="U50" s="5"/>
      <c r="V50" s="5"/>
      <c r="W50" s="5"/>
      <c r="X50" s="5"/>
      <c r="Y50" s="5"/>
    </row>
    <row r="51" spans="1:25" ht="31.2" x14ac:dyDescent="0.3">
      <c r="A51" s="138" t="s">
        <v>301</v>
      </c>
      <c r="B51" s="138"/>
      <c r="C51" s="138"/>
      <c r="D51" s="138"/>
      <c r="E51" s="138"/>
      <c r="F51" s="138"/>
      <c r="G51" s="138"/>
      <c r="H51" s="138"/>
      <c r="I51" s="138"/>
      <c r="J51" s="138"/>
      <c r="K51" s="138"/>
      <c r="L51" s="138"/>
      <c r="M51" s="138"/>
      <c r="N51" s="138"/>
      <c r="O51" s="138"/>
      <c r="P51" s="138"/>
      <c r="Q51" s="138"/>
      <c r="R51" s="138"/>
      <c r="S51" s="138"/>
      <c r="T51" s="138"/>
      <c r="U51" s="5"/>
      <c r="V51" s="5"/>
      <c r="W51" s="5"/>
      <c r="X51" s="5"/>
      <c r="Y51" s="5"/>
    </row>
    <row r="52" spans="1:25" x14ac:dyDescent="0.3">
      <c r="A52" s="22"/>
      <c r="B52" s="22"/>
      <c r="C52" s="22"/>
      <c r="D52" s="22"/>
      <c r="E52" s="22"/>
      <c r="F52" s="22"/>
      <c r="G52" s="22"/>
      <c r="H52" s="22"/>
      <c r="I52" s="22"/>
      <c r="J52" s="22"/>
      <c r="K52" s="22"/>
      <c r="L52" s="22"/>
      <c r="M52" s="22"/>
      <c r="N52" s="22"/>
      <c r="O52" s="22"/>
      <c r="P52" s="22"/>
      <c r="Q52" s="22"/>
      <c r="R52" s="22"/>
      <c r="S52" s="22"/>
      <c r="T52" s="22"/>
      <c r="U52" s="5"/>
      <c r="V52" s="5"/>
      <c r="W52" s="5"/>
      <c r="X52" s="5"/>
      <c r="Y52" s="5"/>
    </row>
    <row r="53" spans="1:25" ht="25.8" x14ac:dyDescent="0.3">
      <c r="A53" s="22"/>
      <c r="B53" s="22"/>
      <c r="C53" s="146"/>
      <c r="D53" s="139" t="s">
        <v>322</v>
      </c>
      <c r="E53" s="139"/>
      <c r="F53" s="139"/>
      <c r="G53" s="139"/>
      <c r="H53" s="139"/>
      <c r="I53" s="139"/>
      <c r="J53" s="139"/>
      <c r="K53" s="139"/>
      <c r="L53" s="22"/>
      <c r="M53" s="130" t="s">
        <v>0</v>
      </c>
      <c r="N53" s="130"/>
      <c r="O53" s="22"/>
      <c r="P53" s="22"/>
      <c r="Q53" s="22"/>
      <c r="R53" s="22"/>
      <c r="S53" s="22"/>
      <c r="T53" s="22"/>
      <c r="U53" s="5"/>
      <c r="V53" s="5"/>
      <c r="W53" s="5"/>
      <c r="X53" s="5"/>
      <c r="Y53" s="5"/>
    </row>
    <row r="54" spans="1:25" ht="15.6" x14ac:dyDescent="0.3">
      <c r="A54" s="22"/>
      <c r="B54" s="22"/>
      <c r="C54" s="147"/>
      <c r="D54" s="120" t="s">
        <v>5</v>
      </c>
      <c r="E54" s="120"/>
      <c r="F54" s="120"/>
      <c r="G54" s="120"/>
      <c r="H54" s="120" t="s">
        <v>12</v>
      </c>
      <c r="I54" s="120"/>
      <c r="J54" s="120"/>
      <c r="K54" s="120"/>
      <c r="L54" s="22"/>
      <c r="M54" s="46" t="s">
        <v>88</v>
      </c>
      <c r="N54" s="65">
        <v>30</v>
      </c>
      <c r="O54" s="22"/>
      <c r="P54" s="22"/>
      <c r="Q54" s="22"/>
      <c r="R54" s="22"/>
      <c r="S54" s="22"/>
      <c r="T54" s="22"/>
      <c r="U54" s="5"/>
      <c r="V54" s="5"/>
      <c r="W54" s="5"/>
      <c r="X54" s="5"/>
      <c r="Y54" s="5"/>
    </row>
    <row r="55" spans="1:25" ht="15.6" x14ac:dyDescent="0.3">
      <c r="A55" s="22"/>
      <c r="B55" s="22"/>
      <c r="C55" s="148"/>
      <c r="D55" s="46" t="s">
        <v>84</v>
      </c>
      <c r="E55" s="46" t="s">
        <v>85</v>
      </c>
      <c r="F55" s="46" t="s">
        <v>315</v>
      </c>
      <c r="G55" s="46" t="s">
        <v>86</v>
      </c>
      <c r="H55" s="46" t="s">
        <v>84</v>
      </c>
      <c r="I55" s="46" t="s">
        <v>85</v>
      </c>
      <c r="J55" s="46" t="s">
        <v>315</v>
      </c>
      <c r="K55" s="46" t="s">
        <v>86</v>
      </c>
      <c r="L55" s="22"/>
      <c r="M55" s="46" t="s">
        <v>79</v>
      </c>
      <c r="N55" s="64">
        <v>101.66666666666667</v>
      </c>
      <c r="O55" s="22"/>
      <c r="P55" s="22"/>
      <c r="Q55" s="22"/>
      <c r="R55" s="22"/>
      <c r="S55" s="22"/>
      <c r="T55" s="22"/>
      <c r="U55" s="5"/>
      <c r="V55" s="5"/>
      <c r="W55" s="5"/>
      <c r="X55" s="5"/>
      <c r="Y55" s="5"/>
    </row>
    <row r="56" spans="1:25" ht="15.6" x14ac:dyDescent="0.3">
      <c r="A56" s="33"/>
      <c r="B56" s="22"/>
      <c r="C56" s="56" t="s">
        <v>83</v>
      </c>
      <c r="D56" s="65">
        <v>8</v>
      </c>
      <c r="E56" s="65">
        <v>9</v>
      </c>
      <c r="F56" s="65">
        <v>10</v>
      </c>
      <c r="G56" s="65">
        <v>8</v>
      </c>
      <c r="H56" s="65">
        <v>7</v>
      </c>
      <c r="I56" s="65">
        <v>6</v>
      </c>
      <c r="J56" s="65">
        <v>11</v>
      </c>
      <c r="K56" s="65">
        <v>7</v>
      </c>
      <c r="L56" s="22"/>
      <c r="M56" s="46" t="s">
        <v>314</v>
      </c>
      <c r="N56" s="65">
        <v>200</v>
      </c>
      <c r="O56" s="22"/>
      <c r="P56" s="22"/>
      <c r="Q56" s="22"/>
      <c r="R56" s="22"/>
      <c r="S56" s="22"/>
      <c r="T56" s="22"/>
      <c r="U56" s="5"/>
      <c r="V56" s="5"/>
      <c r="W56" s="5"/>
      <c r="X56" s="5"/>
      <c r="Y56" s="5"/>
    </row>
    <row r="57" spans="1:25" ht="15.6" x14ac:dyDescent="0.3">
      <c r="A57" s="22"/>
      <c r="B57" s="22"/>
      <c r="C57" s="57" t="s">
        <v>82</v>
      </c>
      <c r="D57" s="65">
        <v>2</v>
      </c>
      <c r="E57" s="65">
        <v>4</v>
      </c>
      <c r="F57" s="65">
        <v>2</v>
      </c>
      <c r="G57" s="65">
        <v>2</v>
      </c>
      <c r="H57" s="65">
        <v>6</v>
      </c>
      <c r="I57" s="65">
        <v>6</v>
      </c>
      <c r="J57" s="65">
        <v>7</v>
      </c>
      <c r="K57" s="65">
        <v>6</v>
      </c>
      <c r="L57" s="22"/>
      <c r="M57" s="46" t="s">
        <v>89</v>
      </c>
      <c r="N57" s="65">
        <v>20</v>
      </c>
      <c r="O57" s="22"/>
      <c r="P57" s="22"/>
      <c r="Q57" s="22"/>
      <c r="R57" s="22"/>
      <c r="S57" s="22"/>
      <c r="T57" s="22"/>
      <c r="U57" s="5"/>
      <c r="V57" s="5"/>
      <c r="W57" s="5"/>
      <c r="X57" s="5"/>
      <c r="Y57" s="5"/>
    </row>
    <row r="58" spans="1:25" ht="15.6" x14ac:dyDescent="0.3">
      <c r="A58" s="22"/>
      <c r="B58" s="22"/>
      <c r="C58" s="58" t="s">
        <v>81</v>
      </c>
      <c r="D58" s="65">
        <v>16</v>
      </c>
      <c r="E58" s="65">
        <v>12</v>
      </c>
      <c r="F58" s="65">
        <v>11</v>
      </c>
      <c r="G58" s="65">
        <v>12</v>
      </c>
      <c r="H58" s="65">
        <v>8</v>
      </c>
      <c r="I58" s="65">
        <v>13</v>
      </c>
      <c r="J58" s="65">
        <v>6</v>
      </c>
      <c r="K58" s="65">
        <v>9</v>
      </c>
      <c r="L58" s="22"/>
      <c r="M58" s="22"/>
      <c r="N58" s="22"/>
      <c r="O58" s="22"/>
      <c r="P58" s="22"/>
      <c r="Q58" s="22"/>
      <c r="R58" s="22"/>
      <c r="S58" s="22"/>
      <c r="T58" s="22"/>
      <c r="U58" s="5"/>
      <c r="V58" s="5"/>
      <c r="W58" s="5"/>
      <c r="X58" s="5"/>
      <c r="Y58" s="5"/>
    </row>
    <row r="59" spans="1:25" ht="15.6" x14ac:dyDescent="0.3">
      <c r="A59" s="22"/>
      <c r="B59" s="22"/>
      <c r="C59" s="59" t="s">
        <v>80</v>
      </c>
      <c r="D59" s="65">
        <v>4</v>
      </c>
      <c r="E59" s="65">
        <v>5</v>
      </c>
      <c r="F59" s="65">
        <v>7</v>
      </c>
      <c r="G59" s="65">
        <v>8</v>
      </c>
      <c r="H59" s="65">
        <v>9</v>
      </c>
      <c r="I59" s="65">
        <v>5</v>
      </c>
      <c r="J59" s="65">
        <v>6</v>
      </c>
      <c r="K59" s="65">
        <v>8</v>
      </c>
      <c r="L59" s="22"/>
      <c r="M59" s="22"/>
      <c r="N59" s="22"/>
      <c r="O59" s="22"/>
      <c r="P59" s="22"/>
      <c r="Q59" s="22"/>
      <c r="R59" s="22"/>
      <c r="S59" s="22"/>
      <c r="T59" s="22"/>
      <c r="U59" s="5"/>
      <c r="V59" s="5"/>
      <c r="W59" s="5"/>
      <c r="X59" s="5"/>
      <c r="Y59" s="5"/>
    </row>
    <row r="60" spans="1:25" x14ac:dyDescent="0.3">
      <c r="A60" s="22"/>
      <c r="B60" s="22"/>
      <c r="C60" s="22"/>
      <c r="D60" s="22"/>
      <c r="E60" s="22"/>
      <c r="F60" s="22"/>
      <c r="G60" s="22"/>
      <c r="H60" s="22"/>
      <c r="I60" s="22"/>
      <c r="J60" s="22"/>
      <c r="K60" s="22"/>
      <c r="L60" s="22"/>
      <c r="M60" s="22"/>
      <c r="N60" s="22"/>
      <c r="O60" s="22"/>
      <c r="P60" s="22"/>
      <c r="Q60" s="22"/>
      <c r="R60" s="22"/>
      <c r="S60" s="22"/>
      <c r="T60" s="22"/>
      <c r="U60" s="5"/>
      <c r="V60" s="5"/>
      <c r="W60" s="5"/>
      <c r="X60" s="5"/>
      <c r="Y60" s="5"/>
    </row>
    <row r="61" spans="1:25" ht="15" customHeight="1" x14ac:dyDescent="0.3">
      <c r="A61" s="144" t="s">
        <v>300</v>
      </c>
      <c r="B61" s="22"/>
      <c r="C61" s="22"/>
      <c r="D61" s="22"/>
      <c r="E61" s="22"/>
      <c r="F61" s="22"/>
      <c r="G61" s="22"/>
      <c r="H61" s="22"/>
      <c r="I61" s="22"/>
      <c r="J61" s="22"/>
      <c r="K61" s="22"/>
      <c r="L61" s="22"/>
      <c r="M61" s="22"/>
      <c r="N61" s="22"/>
      <c r="O61" s="22"/>
      <c r="P61" s="22"/>
      <c r="Q61" s="22"/>
      <c r="R61" s="22"/>
      <c r="S61" s="22"/>
      <c r="T61" s="22"/>
      <c r="U61" s="5"/>
      <c r="V61" s="5"/>
      <c r="W61" s="5"/>
      <c r="X61" s="5"/>
      <c r="Y61" s="5"/>
    </row>
    <row r="62" spans="1:25" ht="15" customHeight="1" x14ac:dyDescent="0.3">
      <c r="A62" s="144"/>
      <c r="B62" s="22"/>
      <c r="C62" s="22"/>
      <c r="D62" s="22"/>
      <c r="E62" s="22"/>
      <c r="F62" s="22"/>
      <c r="G62" s="22"/>
      <c r="H62" s="22"/>
      <c r="I62" s="22"/>
      <c r="J62" s="22"/>
      <c r="K62" s="22"/>
      <c r="L62" s="22"/>
      <c r="M62" s="22"/>
      <c r="N62" s="22"/>
      <c r="O62" s="22"/>
      <c r="P62" s="22"/>
      <c r="Q62" s="22"/>
      <c r="R62" s="22"/>
      <c r="S62" s="22"/>
      <c r="T62" s="22"/>
      <c r="U62" s="5"/>
      <c r="V62" s="5"/>
      <c r="W62" s="5"/>
      <c r="X62" s="5"/>
      <c r="Y62" s="5"/>
    </row>
    <row r="63" spans="1:25" ht="28.8" x14ac:dyDescent="0.3">
      <c r="A63" s="149"/>
      <c r="B63" s="22"/>
      <c r="C63" s="61" t="s">
        <v>274</v>
      </c>
      <c r="D63" s="61" t="s">
        <v>275</v>
      </c>
      <c r="E63" s="61" t="s">
        <v>276</v>
      </c>
      <c r="F63" s="61" t="s">
        <v>320</v>
      </c>
      <c r="G63" s="61" t="s">
        <v>277</v>
      </c>
      <c r="H63" s="61" t="s">
        <v>302</v>
      </c>
      <c r="I63" s="61" t="s">
        <v>308</v>
      </c>
      <c r="J63" s="61" t="s">
        <v>304</v>
      </c>
      <c r="K63" s="61" t="s">
        <v>297</v>
      </c>
      <c r="L63" s="61" t="s">
        <v>298</v>
      </c>
      <c r="M63" s="61" t="s">
        <v>321</v>
      </c>
      <c r="N63" s="61" t="s">
        <v>299</v>
      </c>
      <c r="O63" s="61" t="s">
        <v>305</v>
      </c>
      <c r="P63" s="61" t="s">
        <v>309</v>
      </c>
      <c r="Q63" s="61" t="s">
        <v>310</v>
      </c>
      <c r="R63" s="22"/>
      <c r="S63" s="22"/>
      <c r="T63" s="22"/>
      <c r="U63" s="5"/>
      <c r="V63" s="5"/>
      <c r="W63" s="5"/>
      <c r="X63" s="5"/>
      <c r="Y63" s="5"/>
    </row>
    <row r="64" spans="1:25" x14ac:dyDescent="0.3">
      <c r="A64" s="149"/>
      <c r="B64" s="22"/>
      <c r="C64" s="62" t="s">
        <v>115</v>
      </c>
      <c r="D64" s="65">
        <v>1</v>
      </c>
      <c r="E64" s="65">
        <v>13</v>
      </c>
      <c r="F64" s="65">
        <v>12</v>
      </c>
      <c r="G64" s="65">
        <v>26</v>
      </c>
      <c r="H64" s="67">
        <v>26</v>
      </c>
      <c r="I64" s="67">
        <v>1</v>
      </c>
      <c r="J64" s="67">
        <v>52</v>
      </c>
      <c r="K64" s="65">
        <v>41</v>
      </c>
      <c r="L64" s="65">
        <v>23</v>
      </c>
      <c r="M64" s="65">
        <v>30</v>
      </c>
      <c r="N64" s="65">
        <v>30</v>
      </c>
      <c r="O64" s="67">
        <v>41</v>
      </c>
      <c r="P64" s="67">
        <v>23</v>
      </c>
      <c r="Q64" s="67">
        <v>124</v>
      </c>
      <c r="R64" s="22"/>
      <c r="S64" s="22"/>
      <c r="T64" s="22"/>
      <c r="U64" s="5"/>
      <c r="V64" s="5"/>
      <c r="W64" s="5"/>
      <c r="X64" s="5"/>
      <c r="Y64" s="5"/>
    </row>
    <row r="65" spans="1:25" x14ac:dyDescent="0.3">
      <c r="A65" s="149"/>
      <c r="B65" s="22"/>
      <c r="C65" s="62" t="s">
        <v>117</v>
      </c>
      <c r="D65" s="65">
        <v>27</v>
      </c>
      <c r="E65" s="65">
        <v>22</v>
      </c>
      <c r="F65" s="65">
        <v>49</v>
      </c>
      <c r="G65" s="65">
        <v>24</v>
      </c>
      <c r="H65" s="67">
        <v>49</v>
      </c>
      <c r="I65" s="67">
        <v>22</v>
      </c>
      <c r="J65" s="67">
        <v>122</v>
      </c>
      <c r="K65" s="65">
        <v>3</v>
      </c>
      <c r="L65" s="65">
        <v>13</v>
      </c>
      <c r="M65" s="65">
        <v>13</v>
      </c>
      <c r="N65" s="65">
        <v>13</v>
      </c>
      <c r="O65" s="67">
        <v>13</v>
      </c>
      <c r="P65" s="67">
        <v>3</v>
      </c>
      <c r="Q65" s="67">
        <v>42</v>
      </c>
      <c r="R65" s="22"/>
      <c r="S65" s="22"/>
      <c r="T65" s="22"/>
      <c r="U65" s="5"/>
      <c r="V65" s="5"/>
      <c r="W65" s="5"/>
      <c r="X65" s="5"/>
      <c r="Y65" s="5"/>
    </row>
    <row r="66" spans="1:25" x14ac:dyDescent="0.3">
      <c r="A66" s="149"/>
      <c r="B66" s="22"/>
      <c r="C66" s="62" t="s">
        <v>92</v>
      </c>
      <c r="D66" s="65">
        <v>10</v>
      </c>
      <c r="E66" s="65">
        <v>15</v>
      </c>
      <c r="F66" s="65">
        <v>26</v>
      </c>
      <c r="G66" s="65">
        <v>40</v>
      </c>
      <c r="H66" s="67">
        <v>40</v>
      </c>
      <c r="I66" s="67">
        <v>10</v>
      </c>
      <c r="J66" s="67">
        <v>91</v>
      </c>
      <c r="K66" s="65">
        <v>16</v>
      </c>
      <c r="L66" s="65">
        <v>9</v>
      </c>
      <c r="M66" s="65">
        <v>44</v>
      </c>
      <c r="N66" s="65">
        <v>44</v>
      </c>
      <c r="O66" s="67">
        <v>44</v>
      </c>
      <c r="P66" s="67">
        <v>9</v>
      </c>
      <c r="Q66" s="67">
        <v>113</v>
      </c>
      <c r="R66" s="22"/>
      <c r="S66" s="22"/>
      <c r="T66" s="22"/>
      <c r="U66" s="5"/>
      <c r="V66" s="5"/>
      <c r="W66" s="5"/>
      <c r="X66" s="5"/>
      <c r="Y66" s="5"/>
    </row>
    <row r="67" spans="1:25" x14ac:dyDescent="0.3">
      <c r="A67" s="149"/>
      <c r="B67" s="22"/>
      <c r="C67" s="62" t="s">
        <v>100</v>
      </c>
      <c r="D67" s="65">
        <v>15</v>
      </c>
      <c r="E67" s="65">
        <v>16</v>
      </c>
      <c r="F67" s="65">
        <v>30</v>
      </c>
      <c r="G67" s="65">
        <v>40</v>
      </c>
      <c r="H67" s="67">
        <v>40</v>
      </c>
      <c r="I67" s="67">
        <v>15</v>
      </c>
      <c r="J67" s="67">
        <v>101</v>
      </c>
      <c r="K67" s="65">
        <v>4</v>
      </c>
      <c r="L67" s="65">
        <v>32</v>
      </c>
      <c r="M67" s="65">
        <v>47</v>
      </c>
      <c r="N67" s="65">
        <v>47</v>
      </c>
      <c r="O67" s="67">
        <v>47</v>
      </c>
      <c r="P67" s="67">
        <v>4</v>
      </c>
      <c r="Q67" s="67">
        <v>130</v>
      </c>
      <c r="R67" s="22"/>
      <c r="S67" s="22"/>
      <c r="T67" s="22"/>
      <c r="U67" s="5"/>
      <c r="V67" s="5"/>
      <c r="W67" s="5"/>
      <c r="X67" s="5"/>
      <c r="Y67" s="5"/>
    </row>
    <row r="68" spans="1:25" x14ac:dyDescent="0.3">
      <c r="A68" s="149"/>
      <c r="B68" s="22"/>
      <c r="C68" s="62" t="s">
        <v>119</v>
      </c>
      <c r="D68" s="65">
        <v>38</v>
      </c>
      <c r="E68" s="65">
        <v>47</v>
      </c>
      <c r="F68" s="65">
        <v>4</v>
      </c>
      <c r="G68" s="65">
        <v>34</v>
      </c>
      <c r="H68" s="67">
        <v>47</v>
      </c>
      <c r="I68" s="67">
        <v>4</v>
      </c>
      <c r="J68" s="67">
        <v>123</v>
      </c>
      <c r="K68" s="65">
        <v>42</v>
      </c>
      <c r="L68" s="65">
        <v>20</v>
      </c>
      <c r="M68" s="65">
        <v>37</v>
      </c>
      <c r="N68" s="65">
        <v>37</v>
      </c>
      <c r="O68" s="67">
        <v>42</v>
      </c>
      <c r="P68" s="67">
        <v>20</v>
      </c>
      <c r="Q68" s="67">
        <v>136</v>
      </c>
      <c r="R68" s="22"/>
      <c r="S68" s="22"/>
      <c r="T68" s="22"/>
      <c r="U68" s="5"/>
      <c r="V68" s="5"/>
      <c r="W68" s="5"/>
      <c r="X68" s="5"/>
      <c r="Y68" s="5"/>
    </row>
    <row r="69" spans="1:25" x14ac:dyDescent="0.3">
      <c r="A69" s="149"/>
      <c r="B69" s="22"/>
      <c r="C69" s="62" t="s">
        <v>97</v>
      </c>
      <c r="D69" s="65">
        <v>21</v>
      </c>
      <c r="E69" s="65">
        <v>4</v>
      </c>
      <c r="F69" s="65">
        <v>26</v>
      </c>
      <c r="G69" s="65">
        <v>24</v>
      </c>
      <c r="H69" s="67">
        <v>26</v>
      </c>
      <c r="I69" s="67">
        <v>4</v>
      </c>
      <c r="J69" s="67">
        <v>75</v>
      </c>
      <c r="K69" s="65">
        <v>39</v>
      </c>
      <c r="L69" s="65">
        <v>41</v>
      </c>
      <c r="M69" s="65">
        <v>26</v>
      </c>
      <c r="N69" s="65">
        <v>26</v>
      </c>
      <c r="O69" s="67">
        <v>41</v>
      </c>
      <c r="P69" s="67">
        <v>26</v>
      </c>
      <c r="Q69" s="67">
        <v>132</v>
      </c>
      <c r="R69" s="22"/>
      <c r="S69" s="22"/>
      <c r="T69" s="22"/>
      <c r="U69" s="5"/>
      <c r="V69" s="5"/>
      <c r="W69" s="5"/>
      <c r="X69" s="5"/>
      <c r="Y69" s="5"/>
    </row>
    <row r="70" spans="1:25" x14ac:dyDescent="0.3">
      <c r="A70" s="149"/>
      <c r="B70" s="22"/>
      <c r="C70" s="62" t="s">
        <v>105</v>
      </c>
      <c r="D70" s="65">
        <v>9</v>
      </c>
      <c r="E70" s="65">
        <v>5</v>
      </c>
      <c r="F70" s="65">
        <v>5</v>
      </c>
      <c r="G70" s="65">
        <v>1</v>
      </c>
      <c r="H70" s="67">
        <v>9</v>
      </c>
      <c r="I70" s="67">
        <v>1</v>
      </c>
      <c r="J70" s="67">
        <v>20</v>
      </c>
      <c r="K70" s="65">
        <v>40</v>
      </c>
      <c r="L70" s="65">
        <v>30</v>
      </c>
      <c r="M70" s="65">
        <v>4</v>
      </c>
      <c r="N70" s="65">
        <v>4</v>
      </c>
      <c r="O70" s="67">
        <v>40</v>
      </c>
      <c r="P70" s="67">
        <v>4</v>
      </c>
      <c r="Q70" s="67">
        <v>78</v>
      </c>
      <c r="R70" s="22"/>
      <c r="S70" s="22"/>
      <c r="T70" s="22"/>
      <c r="U70" s="5"/>
      <c r="V70" s="5"/>
      <c r="W70" s="5"/>
      <c r="X70" s="5"/>
      <c r="Y70" s="5"/>
    </row>
    <row r="71" spans="1:25" x14ac:dyDescent="0.3">
      <c r="A71" s="149"/>
      <c r="B71" s="22"/>
      <c r="C71" s="62" t="s">
        <v>109</v>
      </c>
      <c r="D71" s="65">
        <v>28</v>
      </c>
      <c r="E71" s="65">
        <v>19</v>
      </c>
      <c r="F71" s="65">
        <v>44</v>
      </c>
      <c r="G71" s="65">
        <v>20</v>
      </c>
      <c r="H71" s="67">
        <v>44</v>
      </c>
      <c r="I71" s="67">
        <v>19</v>
      </c>
      <c r="J71" s="67">
        <v>111</v>
      </c>
      <c r="K71" s="65">
        <v>8</v>
      </c>
      <c r="L71" s="65">
        <v>48</v>
      </c>
      <c r="M71" s="65">
        <v>27</v>
      </c>
      <c r="N71" s="65">
        <v>27</v>
      </c>
      <c r="O71" s="67">
        <v>48</v>
      </c>
      <c r="P71" s="67">
        <v>8</v>
      </c>
      <c r="Q71" s="67">
        <v>110</v>
      </c>
      <c r="R71" s="22"/>
      <c r="S71" s="22"/>
      <c r="T71" s="22"/>
      <c r="U71" s="5"/>
      <c r="V71" s="5"/>
      <c r="W71" s="5"/>
      <c r="X71" s="5"/>
      <c r="Y71" s="5"/>
    </row>
    <row r="72" spans="1:25" x14ac:dyDescent="0.3">
      <c r="A72" s="149"/>
      <c r="B72" s="22"/>
      <c r="C72" s="62" t="s">
        <v>98</v>
      </c>
      <c r="D72" s="65">
        <v>45</v>
      </c>
      <c r="E72" s="65">
        <v>16</v>
      </c>
      <c r="F72" s="65">
        <v>47</v>
      </c>
      <c r="G72" s="65">
        <v>13</v>
      </c>
      <c r="H72" s="67">
        <v>47</v>
      </c>
      <c r="I72" s="67">
        <v>13</v>
      </c>
      <c r="J72" s="67">
        <v>121</v>
      </c>
      <c r="K72" s="65">
        <v>1</v>
      </c>
      <c r="L72" s="65">
        <v>10</v>
      </c>
      <c r="M72" s="65">
        <v>50</v>
      </c>
      <c r="N72" s="65">
        <v>50</v>
      </c>
      <c r="O72" s="67">
        <v>50</v>
      </c>
      <c r="P72" s="67">
        <v>1</v>
      </c>
      <c r="Q72" s="67">
        <v>111</v>
      </c>
      <c r="R72" s="22"/>
      <c r="S72" s="22"/>
      <c r="T72" s="22"/>
      <c r="U72" s="5"/>
      <c r="V72" s="5"/>
      <c r="W72" s="5"/>
      <c r="X72" s="5"/>
      <c r="Y72" s="5"/>
    </row>
    <row r="73" spans="1:25" x14ac:dyDescent="0.3">
      <c r="A73" s="149"/>
      <c r="B73" s="22"/>
      <c r="C73" s="62" t="s">
        <v>94</v>
      </c>
      <c r="D73" s="65">
        <v>18</v>
      </c>
      <c r="E73" s="65">
        <v>46</v>
      </c>
      <c r="F73" s="65">
        <v>42</v>
      </c>
      <c r="G73" s="65">
        <v>23</v>
      </c>
      <c r="H73" s="67">
        <v>46</v>
      </c>
      <c r="I73" s="67">
        <v>18</v>
      </c>
      <c r="J73" s="67">
        <v>129</v>
      </c>
      <c r="K73" s="65">
        <v>45</v>
      </c>
      <c r="L73" s="65">
        <v>16</v>
      </c>
      <c r="M73" s="65">
        <v>2</v>
      </c>
      <c r="N73" s="65">
        <v>2</v>
      </c>
      <c r="O73" s="67">
        <v>45</v>
      </c>
      <c r="P73" s="67">
        <v>2</v>
      </c>
      <c r="Q73" s="67">
        <v>65</v>
      </c>
      <c r="R73" s="22"/>
      <c r="S73" s="22"/>
      <c r="T73" s="22"/>
      <c r="U73" s="5"/>
      <c r="V73" s="5"/>
      <c r="W73" s="5"/>
      <c r="X73" s="5"/>
      <c r="Y73" s="5"/>
    </row>
    <row r="74" spans="1:25" x14ac:dyDescent="0.3">
      <c r="A74" s="149"/>
      <c r="B74" s="22"/>
      <c r="C74" s="62" t="s">
        <v>103</v>
      </c>
      <c r="D74" s="65">
        <v>5</v>
      </c>
      <c r="E74" s="65">
        <v>50</v>
      </c>
      <c r="F74" s="65">
        <v>4</v>
      </c>
      <c r="G74" s="65">
        <v>42</v>
      </c>
      <c r="H74" s="67">
        <v>50</v>
      </c>
      <c r="I74" s="67">
        <v>4</v>
      </c>
      <c r="J74" s="67">
        <v>101</v>
      </c>
      <c r="K74" s="65">
        <v>32</v>
      </c>
      <c r="L74" s="65">
        <v>33</v>
      </c>
      <c r="M74" s="65">
        <v>49</v>
      </c>
      <c r="N74" s="65">
        <v>49</v>
      </c>
      <c r="O74" s="67">
        <v>49</v>
      </c>
      <c r="P74" s="67">
        <v>32</v>
      </c>
      <c r="Q74" s="67">
        <v>163</v>
      </c>
      <c r="R74" s="22"/>
      <c r="S74" s="22"/>
      <c r="T74" s="22"/>
      <c r="U74" s="5"/>
      <c r="V74" s="5"/>
      <c r="W74" s="5"/>
      <c r="X74" s="5"/>
      <c r="Y74" s="5"/>
    </row>
    <row r="75" spans="1:25" x14ac:dyDescent="0.3">
      <c r="A75" s="149"/>
      <c r="B75" s="22"/>
      <c r="C75" s="62" t="s">
        <v>91</v>
      </c>
      <c r="D75" s="65">
        <v>22</v>
      </c>
      <c r="E75" s="65">
        <v>6</v>
      </c>
      <c r="F75" s="65">
        <v>32</v>
      </c>
      <c r="G75" s="65">
        <v>1</v>
      </c>
      <c r="H75" s="67">
        <v>32</v>
      </c>
      <c r="I75" s="67">
        <v>1</v>
      </c>
      <c r="J75" s="67">
        <v>61</v>
      </c>
      <c r="K75" s="65">
        <v>38</v>
      </c>
      <c r="L75" s="65">
        <v>22</v>
      </c>
      <c r="M75" s="65">
        <v>37</v>
      </c>
      <c r="N75" s="65">
        <v>37</v>
      </c>
      <c r="O75" s="67">
        <v>38</v>
      </c>
      <c r="P75" s="67">
        <v>22</v>
      </c>
      <c r="Q75" s="67">
        <v>134</v>
      </c>
      <c r="R75" s="22"/>
      <c r="S75" s="22"/>
      <c r="T75" s="22"/>
      <c r="U75" s="5"/>
      <c r="V75" s="5"/>
      <c r="W75" s="5"/>
      <c r="X75" s="5"/>
      <c r="Y75" s="5"/>
    </row>
    <row r="76" spans="1:25" x14ac:dyDescent="0.3">
      <c r="A76" s="149"/>
      <c r="B76" s="22"/>
      <c r="C76" s="62" t="s">
        <v>113</v>
      </c>
      <c r="D76" s="65">
        <v>47</v>
      </c>
      <c r="E76" s="65">
        <v>14</v>
      </c>
      <c r="F76" s="65">
        <v>2</v>
      </c>
      <c r="G76" s="65">
        <v>21</v>
      </c>
      <c r="H76" s="67">
        <v>47</v>
      </c>
      <c r="I76" s="67">
        <v>2</v>
      </c>
      <c r="J76" s="67">
        <v>84</v>
      </c>
      <c r="K76" s="65">
        <v>36</v>
      </c>
      <c r="L76" s="65">
        <v>24</v>
      </c>
      <c r="M76" s="65">
        <v>2</v>
      </c>
      <c r="N76" s="65">
        <v>2</v>
      </c>
      <c r="O76" s="67">
        <v>36</v>
      </c>
      <c r="P76" s="67">
        <v>2</v>
      </c>
      <c r="Q76" s="67">
        <v>64</v>
      </c>
      <c r="R76" s="22"/>
      <c r="S76" s="22"/>
      <c r="T76" s="22"/>
      <c r="U76" s="5"/>
      <c r="V76" s="5"/>
      <c r="W76" s="5"/>
      <c r="X76" s="5"/>
      <c r="Y76" s="5"/>
    </row>
    <row r="77" spans="1:25" x14ac:dyDescent="0.3">
      <c r="A77" s="149"/>
      <c r="B77" s="22"/>
      <c r="C77" s="62" t="s">
        <v>107</v>
      </c>
      <c r="D77" s="65">
        <v>48</v>
      </c>
      <c r="E77" s="65">
        <v>34</v>
      </c>
      <c r="F77" s="65">
        <v>20</v>
      </c>
      <c r="G77" s="65">
        <v>8</v>
      </c>
      <c r="H77" s="67">
        <v>48</v>
      </c>
      <c r="I77" s="67">
        <v>8</v>
      </c>
      <c r="J77" s="67">
        <v>110</v>
      </c>
      <c r="K77" s="65">
        <v>50</v>
      </c>
      <c r="L77" s="65">
        <v>15</v>
      </c>
      <c r="M77" s="65">
        <v>30</v>
      </c>
      <c r="N77" s="65">
        <v>30</v>
      </c>
      <c r="O77" s="67">
        <v>50</v>
      </c>
      <c r="P77" s="67">
        <v>15</v>
      </c>
      <c r="Q77" s="67">
        <v>125</v>
      </c>
      <c r="R77" s="22"/>
      <c r="S77" s="22"/>
      <c r="T77" s="22"/>
    </row>
    <row r="78" spans="1:25" x14ac:dyDescent="0.3">
      <c r="A78" s="149"/>
      <c r="B78" s="22"/>
      <c r="C78" s="62" t="s">
        <v>101</v>
      </c>
      <c r="D78" s="65">
        <v>17</v>
      </c>
      <c r="E78" s="65">
        <v>39</v>
      </c>
      <c r="F78" s="65">
        <v>20</v>
      </c>
      <c r="G78" s="65">
        <v>13</v>
      </c>
      <c r="H78" s="67">
        <v>39</v>
      </c>
      <c r="I78" s="67">
        <v>13</v>
      </c>
      <c r="J78" s="67">
        <v>89</v>
      </c>
      <c r="K78" s="65">
        <v>33</v>
      </c>
      <c r="L78" s="65">
        <v>16</v>
      </c>
      <c r="M78" s="65">
        <v>19</v>
      </c>
      <c r="N78" s="65">
        <v>19</v>
      </c>
      <c r="O78" s="67">
        <v>33</v>
      </c>
      <c r="P78" s="67">
        <v>16</v>
      </c>
      <c r="Q78" s="67">
        <v>87</v>
      </c>
      <c r="R78" s="22"/>
      <c r="S78" s="22"/>
      <c r="T78" s="22"/>
    </row>
    <row r="79" spans="1:25" x14ac:dyDescent="0.3">
      <c r="A79" s="149"/>
      <c r="B79" s="22"/>
      <c r="C79" s="62" t="s">
        <v>104</v>
      </c>
      <c r="D79" s="65">
        <v>34</v>
      </c>
      <c r="E79" s="65">
        <v>41</v>
      </c>
      <c r="F79" s="65">
        <v>44</v>
      </c>
      <c r="G79" s="65">
        <v>18</v>
      </c>
      <c r="H79" s="67">
        <v>44</v>
      </c>
      <c r="I79" s="67">
        <v>18</v>
      </c>
      <c r="J79" s="67">
        <v>137</v>
      </c>
      <c r="K79" s="65">
        <v>13</v>
      </c>
      <c r="L79" s="65">
        <v>22</v>
      </c>
      <c r="M79" s="65">
        <v>21</v>
      </c>
      <c r="N79" s="65">
        <v>21</v>
      </c>
      <c r="O79" s="67">
        <v>22</v>
      </c>
      <c r="P79" s="67">
        <v>13</v>
      </c>
      <c r="Q79" s="67">
        <v>77</v>
      </c>
      <c r="R79" s="22"/>
      <c r="S79" s="22"/>
      <c r="T79" s="22"/>
    </row>
    <row r="80" spans="1:25" x14ac:dyDescent="0.3">
      <c r="A80" s="149"/>
      <c r="B80" s="22"/>
      <c r="C80" s="62" t="s">
        <v>106</v>
      </c>
      <c r="D80" s="65">
        <v>24</v>
      </c>
      <c r="E80" s="65">
        <v>24</v>
      </c>
      <c r="F80" s="65">
        <v>41</v>
      </c>
      <c r="G80" s="65">
        <v>25</v>
      </c>
      <c r="H80" s="67">
        <v>41</v>
      </c>
      <c r="I80" s="67">
        <v>24</v>
      </c>
      <c r="J80" s="67">
        <v>114</v>
      </c>
      <c r="K80" s="65">
        <v>1</v>
      </c>
      <c r="L80" s="65">
        <v>3</v>
      </c>
      <c r="M80" s="65">
        <v>46</v>
      </c>
      <c r="N80" s="65">
        <v>46</v>
      </c>
      <c r="O80" s="67">
        <v>46</v>
      </c>
      <c r="P80" s="67">
        <v>1</v>
      </c>
      <c r="Q80" s="67">
        <v>96</v>
      </c>
      <c r="R80" s="22"/>
      <c r="S80" s="22"/>
      <c r="T80" s="22"/>
    </row>
    <row r="81" spans="1:20" x14ac:dyDescent="0.3">
      <c r="A81" s="149"/>
      <c r="B81" s="22"/>
      <c r="C81" s="62" t="s">
        <v>99</v>
      </c>
      <c r="D81" s="65">
        <v>12</v>
      </c>
      <c r="E81" s="65">
        <v>40</v>
      </c>
      <c r="F81" s="65">
        <v>16</v>
      </c>
      <c r="G81" s="65">
        <v>22</v>
      </c>
      <c r="H81" s="67">
        <v>40</v>
      </c>
      <c r="I81" s="67">
        <v>12</v>
      </c>
      <c r="J81" s="67">
        <v>90</v>
      </c>
      <c r="K81" s="65">
        <v>38</v>
      </c>
      <c r="L81" s="65">
        <v>35</v>
      </c>
      <c r="M81" s="65">
        <v>1</v>
      </c>
      <c r="N81" s="65">
        <v>1</v>
      </c>
      <c r="O81" s="67">
        <v>38</v>
      </c>
      <c r="P81" s="67">
        <v>1</v>
      </c>
      <c r="Q81" s="67">
        <v>75</v>
      </c>
      <c r="R81" s="22"/>
      <c r="S81" s="22"/>
      <c r="T81" s="22"/>
    </row>
    <row r="82" spans="1:20" x14ac:dyDescent="0.3">
      <c r="A82" s="149"/>
      <c r="B82" s="22"/>
      <c r="C82" s="62" t="s">
        <v>112</v>
      </c>
      <c r="D82" s="65">
        <v>50</v>
      </c>
      <c r="E82" s="65">
        <v>50</v>
      </c>
      <c r="F82" s="65">
        <v>50</v>
      </c>
      <c r="G82" s="65">
        <v>50</v>
      </c>
      <c r="H82" s="67">
        <v>50</v>
      </c>
      <c r="I82" s="67">
        <v>50</v>
      </c>
      <c r="J82" s="67">
        <v>200</v>
      </c>
      <c r="K82" s="65">
        <v>25</v>
      </c>
      <c r="L82" s="65">
        <v>30</v>
      </c>
      <c r="M82" s="65">
        <v>32</v>
      </c>
      <c r="N82" s="65">
        <v>32</v>
      </c>
      <c r="O82" s="67">
        <v>32</v>
      </c>
      <c r="P82" s="67">
        <v>25</v>
      </c>
      <c r="Q82" s="67">
        <v>119</v>
      </c>
      <c r="R82" s="22"/>
      <c r="S82" s="22"/>
      <c r="T82" s="22"/>
    </row>
    <row r="83" spans="1:20" x14ac:dyDescent="0.3">
      <c r="A83" s="149"/>
      <c r="B83" s="22"/>
      <c r="C83" s="62" t="s">
        <v>102</v>
      </c>
      <c r="D83" s="65">
        <v>42</v>
      </c>
      <c r="E83" s="65">
        <v>11</v>
      </c>
      <c r="F83" s="65">
        <v>8</v>
      </c>
      <c r="G83" s="65">
        <v>45</v>
      </c>
      <c r="H83" s="67">
        <v>45</v>
      </c>
      <c r="I83" s="67">
        <v>8</v>
      </c>
      <c r="J83" s="67">
        <v>106</v>
      </c>
      <c r="K83" s="65">
        <v>6</v>
      </c>
      <c r="L83" s="65">
        <v>5</v>
      </c>
      <c r="M83" s="65">
        <v>49</v>
      </c>
      <c r="N83" s="65">
        <v>49</v>
      </c>
      <c r="O83" s="67">
        <v>49</v>
      </c>
      <c r="P83" s="67">
        <v>5</v>
      </c>
      <c r="Q83" s="67">
        <v>109</v>
      </c>
      <c r="R83" s="22"/>
      <c r="S83" s="22"/>
      <c r="T83" s="22"/>
    </row>
    <row r="84" spans="1:20" x14ac:dyDescent="0.3">
      <c r="A84" s="149"/>
      <c r="B84" s="22"/>
      <c r="C84" s="62" t="s">
        <v>114</v>
      </c>
      <c r="D84" s="65">
        <v>22</v>
      </c>
      <c r="E84" s="65">
        <v>38</v>
      </c>
      <c r="F84" s="65">
        <v>44</v>
      </c>
      <c r="G84" s="65">
        <v>42</v>
      </c>
      <c r="H84" s="67">
        <v>44</v>
      </c>
      <c r="I84" s="67">
        <v>22</v>
      </c>
      <c r="J84" s="67">
        <v>146</v>
      </c>
      <c r="K84" s="65">
        <v>29</v>
      </c>
      <c r="L84" s="65">
        <v>41</v>
      </c>
      <c r="M84" s="65">
        <v>8</v>
      </c>
      <c r="N84" s="65">
        <v>8</v>
      </c>
      <c r="O84" s="67">
        <v>41</v>
      </c>
      <c r="P84" s="67">
        <v>8</v>
      </c>
      <c r="Q84" s="67">
        <v>86</v>
      </c>
      <c r="R84" s="22"/>
      <c r="S84" s="22"/>
      <c r="T84" s="22"/>
    </row>
    <row r="85" spans="1:20" x14ac:dyDescent="0.3">
      <c r="A85" s="149"/>
      <c r="B85" s="22"/>
      <c r="C85" s="62" t="s">
        <v>93</v>
      </c>
      <c r="D85" s="65">
        <v>8</v>
      </c>
      <c r="E85" s="65">
        <v>19</v>
      </c>
      <c r="F85" s="65">
        <v>15</v>
      </c>
      <c r="G85" s="65">
        <v>50</v>
      </c>
      <c r="H85" s="67">
        <v>50</v>
      </c>
      <c r="I85" s="67">
        <v>8</v>
      </c>
      <c r="J85" s="67">
        <v>92</v>
      </c>
      <c r="K85" s="65">
        <v>19</v>
      </c>
      <c r="L85" s="65">
        <v>8</v>
      </c>
      <c r="M85" s="65">
        <v>43</v>
      </c>
      <c r="N85" s="65">
        <v>43</v>
      </c>
      <c r="O85" s="67">
        <v>43</v>
      </c>
      <c r="P85" s="67">
        <v>8</v>
      </c>
      <c r="Q85" s="67">
        <v>113</v>
      </c>
      <c r="R85" s="22"/>
      <c r="S85" s="22"/>
      <c r="T85" s="22"/>
    </row>
    <row r="86" spans="1:20" x14ac:dyDescent="0.3">
      <c r="A86" s="149"/>
      <c r="B86" s="22"/>
      <c r="C86" s="62" t="s">
        <v>118</v>
      </c>
      <c r="D86" s="65">
        <v>19</v>
      </c>
      <c r="E86" s="65">
        <v>9</v>
      </c>
      <c r="F86" s="65">
        <v>26</v>
      </c>
      <c r="G86" s="65">
        <v>10</v>
      </c>
      <c r="H86" s="67">
        <v>26</v>
      </c>
      <c r="I86" s="67">
        <v>9</v>
      </c>
      <c r="J86" s="67">
        <v>64</v>
      </c>
      <c r="K86" s="65">
        <v>14</v>
      </c>
      <c r="L86" s="65">
        <v>25</v>
      </c>
      <c r="M86" s="65">
        <v>49</v>
      </c>
      <c r="N86" s="65">
        <v>49</v>
      </c>
      <c r="O86" s="67">
        <v>49</v>
      </c>
      <c r="P86" s="67">
        <v>14</v>
      </c>
      <c r="Q86" s="67">
        <v>137</v>
      </c>
      <c r="R86" s="22"/>
      <c r="S86" s="22"/>
      <c r="T86" s="22"/>
    </row>
    <row r="87" spans="1:20" x14ac:dyDescent="0.3">
      <c r="A87" s="149"/>
      <c r="B87" s="22"/>
      <c r="C87" s="62" t="s">
        <v>108</v>
      </c>
      <c r="D87" s="65">
        <v>50</v>
      </c>
      <c r="E87" s="65">
        <v>19</v>
      </c>
      <c r="F87" s="65">
        <v>4</v>
      </c>
      <c r="G87" s="65">
        <v>2</v>
      </c>
      <c r="H87" s="67">
        <v>50</v>
      </c>
      <c r="I87" s="67">
        <v>2</v>
      </c>
      <c r="J87" s="67">
        <v>75</v>
      </c>
      <c r="K87" s="65">
        <v>2</v>
      </c>
      <c r="L87" s="65">
        <v>14</v>
      </c>
      <c r="M87" s="65">
        <v>0</v>
      </c>
      <c r="N87" s="65">
        <v>0</v>
      </c>
      <c r="O87" s="67">
        <v>14</v>
      </c>
      <c r="P87" s="67">
        <v>0</v>
      </c>
      <c r="Q87" s="67">
        <v>16</v>
      </c>
      <c r="R87" s="22"/>
      <c r="S87" s="22"/>
      <c r="T87" s="22"/>
    </row>
    <row r="88" spans="1:20" x14ac:dyDescent="0.3">
      <c r="A88" s="149"/>
      <c r="B88" s="22"/>
      <c r="C88" s="62" t="s">
        <v>95</v>
      </c>
      <c r="D88" s="65">
        <v>17</v>
      </c>
      <c r="E88" s="65">
        <v>17</v>
      </c>
      <c r="F88" s="65">
        <v>28</v>
      </c>
      <c r="G88" s="65">
        <v>6</v>
      </c>
      <c r="H88" s="67">
        <v>28</v>
      </c>
      <c r="I88" s="67">
        <v>6</v>
      </c>
      <c r="J88" s="67">
        <v>68</v>
      </c>
      <c r="K88" s="65">
        <v>10</v>
      </c>
      <c r="L88" s="65">
        <v>44</v>
      </c>
      <c r="M88" s="65">
        <v>43</v>
      </c>
      <c r="N88" s="65">
        <v>43</v>
      </c>
      <c r="O88" s="67">
        <v>44</v>
      </c>
      <c r="P88" s="67">
        <v>10</v>
      </c>
      <c r="Q88" s="67">
        <v>140</v>
      </c>
      <c r="R88" s="22"/>
      <c r="S88" s="22"/>
      <c r="T88" s="22"/>
    </row>
    <row r="89" spans="1:20" x14ac:dyDescent="0.3">
      <c r="A89" s="149"/>
      <c r="B89" s="22"/>
      <c r="C89" s="62" t="s">
        <v>110</v>
      </c>
      <c r="D89" s="65">
        <v>14</v>
      </c>
      <c r="E89" s="65">
        <v>49</v>
      </c>
      <c r="F89" s="65">
        <v>6</v>
      </c>
      <c r="G89" s="65">
        <v>3</v>
      </c>
      <c r="H89" s="67">
        <v>49</v>
      </c>
      <c r="I89" s="67">
        <v>3</v>
      </c>
      <c r="J89" s="67">
        <v>72</v>
      </c>
      <c r="K89" s="65">
        <v>7</v>
      </c>
      <c r="L89" s="65">
        <v>22</v>
      </c>
      <c r="M89" s="65">
        <v>33</v>
      </c>
      <c r="N89" s="65">
        <v>33</v>
      </c>
      <c r="O89" s="67">
        <v>33</v>
      </c>
      <c r="P89" s="67">
        <v>7</v>
      </c>
      <c r="Q89" s="67">
        <v>95</v>
      </c>
      <c r="R89" s="22"/>
      <c r="S89" s="22"/>
      <c r="T89" s="22"/>
    </row>
    <row r="90" spans="1:20" x14ac:dyDescent="0.3">
      <c r="A90" s="149"/>
      <c r="B90" s="22"/>
      <c r="C90" s="62" t="s">
        <v>111</v>
      </c>
      <c r="D90" s="65">
        <v>40</v>
      </c>
      <c r="E90" s="65">
        <v>36</v>
      </c>
      <c r="F90" s="65">
        <v>17</v>
      </c>
      <c r="G90" s="65">
        <v>2</v>
      </c>
      <c r="H90" s="67">
        <v>40</v>
      </c>
      <c r="I90" s="67">
        <v>2</v>
      </c>
      <c r="J90" s="67">
        <v>95</v>
      </c>
      <c r="K90" s="65">
        <v>40</v>
      </c>
      <c r="L90" s="65">
        <v>40</v>
      </c>
      <c r="M90" s="65">
        <v>37</v>
      </c>
      <c r="N90" s="65">
        <v>37</v>
      </c>
      <c r="O90" s="67">
        <v>40</v>
      </c>
      <c r="P90" s="67">
        <v>37</v>
      </c>
      <c r="Q90" s="67">
        <v>154</v>
      </c>
      <c r="R90" s="22"/>
      <c r="S90" s="22"/>
      <c r="T90" s="22"/>
    </row>
    <row r="91" spans="1:20" x14ac:dyDescent="0.3">
      <c r="A91" s="149"/>
      <c r="B91" s="22"/>
      <c r="C91" s="62" t="s">
        <v>96</v>
      </c>
      <c r="D91" s="65">
        <v>28</v>
      </c>
      <c r="E91" s="65">
        <v>8</v>
      </c>
      <c r="F91" s="65">
        <v>10</v>
      </c>
      <c r="G91" s="65">
        <v>8</v>
      </c>
      <c r="H91" s="67">
        <v>28</v>
      </c>
      <c r="I91" s="67">
        <v>8</v>
      </c>
      <c r="J91" s="67">
        <v>54</v>
      </c>
      <c r="K91" s="65">
        <v>26</v>
      </c>
      <c r="L91" s="65">
        <v>7</v>
      </c>
      <c r="M91" s="65">
        <v>46</v>
      </c>
      <c r="N91" s="65">
        <v>46</v>
      </c>
      <c r="O91" s="67">
        <v>46</v>
      </c>
      <c r="P91" s="67">
        <v>7</v>
      </c>
      <c r="Q91" s="67">
        <v>125</v>
      </c>
      <c r="R91" s="22"/>
      <c r="S91" s="22"/>
      <c r="T91" s="22"/>
    </row>
    <row r="92" spans="1:20" x14ac:dyDescent="0.3">
      <c r="A92" s="149"/>
      <c r="B92" s="22"/>
      <c r="C92" s="62" t="s">
        <v>90</v>
      </c>
      <c r="D92" s="65">
        <v>50</v>
      </c>
      <c r="E92" s="65">
        <v>50</v>
      </c>
      <c r="F92" s="65">
        <v>50</v>
      </c>
      <c r="G92" s="65">
        <v>50</v>
      </c>
      <c r="H92" s="67">
        <v>50</v>
      </c>
      <c r="I92" s="67">
        <v>50</v>
      </c>
      <c r="J92" s="67">
        <v>200</v>
      </c>
      <c r="K92" s="65">
        <v>50</v>
      </c>
      <c r="L92" s="65">
        <v>50</v>
      </c>
      <c r="M92" s="65">
        <v>50</v>
      </c>
      <c r="N92" s="65">
        <v>50</v>
      </c>
      <c r="O92" s="67">
        <v>50</v>
      </c>
      <c r="P92" s="67">
        <v>50</v>
      </c>
      <c r="Q92" s="67">
        <v>200</v>
      </c>
      <c r="R92" s="22"/>
      <c r="S92" s="22"/>
      <c r="T92" s="22"/>
    </row>
    <row r="93" spans="1:20" x14ac:dyDescent="0.3">
      <c r="A93" s="149"/>
      <c r="B93" s="22"/>
      <c r="C93" s="62" t="s">
        <v>116</v>
      </c>
      <c r="D93" s="65">
        <v>15</v>
      </c>
      <c r="E93" s="65">
        <v>47</v>
      </c>
      <c r="F93" s="65">
        <v>48</v>
      </c>
      <c r="G93" s="65">
        <v>37</v>
      </c>
      <c r="H93" s="67">
        <v>48</v>
      </c>
      <c r="I93" s="67">
        <v>15</v>
      </c>
      <c r="J93" s="67">
        <v>147</v>
      </c>
      <c r="K93" s="65">
        <v>1</v>
      </c>
      <c r="L93" s="65">
        <v>36</v>
      </c>
      <c r="M93" s="65">
        <v>26</v>
      </c>
      <c r="N93" s="65">
        <v>26</v>
      </c>
      <c r="O93" s="67">
        <v>36</v>
      </c>
      <c r="P93" s="67">
        <v>1</v>
      </c>
      <c r="Q93" s="67">
        <v>89</v>
      </c>
      <c r="R93" s="22"/>
      <c r="S93" s="22"/>
      <c r="T93" s="22"/>
    </row>
    <row r="94" spans="1:20" x14ac:dyDescent="0.3">
      <c r="A94" s="149"/>
      <c r="B94" s="22"/>
      <c r="C94" s="69" t="s">
        <v>279</v>
      </c>
      <c r="D94" s="70">
        <v>776</v>
      </c>
      <c r="E94" s="70">
        <v>804</v>
      </c>
      <c r="F94" s="70">
        <v>770</v>
      </c>
      <c r="G94" s="70">
        <v>700</v>
      </c>
      <c r="H94" s="70">
        <v>1223</v>
      </c>
      <c r="I94" s="70">
        <v>372</v>
      </c>
      <c r="J94" s="70">
        <v>3050</v>
      </c>
      <c r="K94" s="70">
        <v>709</v>
      </c>
      <c r="L94" s="70">
        <v>734</v>
      </c>
      <c r="M94" s="70">
        <v>901</v>
      </c>
      <c r="N94" s="70">
        <v>901</v>
      </c>
      <c r="O94" s="70">
        <v>1200</v>
      </c>
      <c r="P94" s="70">
        <v>374</v>
      </c>
      <c r="Q94" s="70">
        <v>3245</v>
      </c>
      <c r="R94" s="22"/>
      <c r="S94" s="22"/>
      <c r="T94" s="22"/>
    </row>
    <row r="95" spans="1:20" x14ac:dyDescent="0.3">
      <c r="A95" s="149"/>
      <c r="B95" s="22"/>
      <c r="C95" s="22"/>
      <c r="D95" s="22"/>
      <c r="E95" s="22"/>
      <c r="F95" s="22"/>
      <c r="G95" s="22"/>
      <c r="H95" s="22"/>
      <c r="I95" s="22"/>
      <c r="J95" s="22"/>
      <c r="K95" s="22"/>
      <c r="L95" s="22"/>
      <c r="M95" s="22"/>
      <c r="N95" s="22"/>
      <c r="O95" s="22"/>
      <c r="P95" s="22"/>
      <c r="Q95" s="22"/>
      <c r="R95" s="22"/>
      <c r="S95" s="22"/>
      <c r="T95" s="22"/>
    </row>
    <row r="96" spans="1:20" x14ac:dyDescent="0.3">
      <c r="A96" s="149"/>
      <c r="B96" s="22"/>
      <c r="C96" s="22"/>
      <c r="D96" s="22"/>
      <c r="E96" s="22"/>
      <c r="F96" s="22"/>
      <c r="G96" s="22"/>
      <c r="H96" s="22"/>
      <c r="I96" s="22"/>
      <c r="J96" s="22"/>
      <c r="K96" s="22"/>
      <c r="L96" s="22"/>
      <c r="M96" s="22"/>
      <c r="N96" s="22"/>
      <c r="O96" s="22"/>
      <c r="P96" s="22"/>
      <c r="Q96" s="22"/>
      <c r="R96" s="22"/>
      <c r="S96" s="22"/>
      <c r="T96" s="22"/>
    </row>
    <row r="97" spans="1:20" x14ac:dyDescent="0.3">
      <c r="A97" s="149"/>
      <c r="B97" s="22"/>
      <c r="C97" s="22"/>
      <c r="D97" s="22"/>
      <c r="E97" s="22"/>
      <c r="F97" s="22"/>
      <c r="G97" s="22"/>
      <c r="H97" s="22"/>
      <c r="I97" s="22"/>
      <c r="J97" s="22"/>
      <c r="K97" s="22"/>
      <c r="L97" s="22"/>
      <c r="M97" s="22"/>
      <c r="N97" s="22"/>
      <c r="O97" s="22"/>
      <c r="P97" s="22"/>
      <c r="Q97" s="22"/>
      <c r="R97" s="22"/>
      <c r="S97" s="22"/>
      <c r="T97" s="22"/>
    </row>
    <row r="98" spans="1:20" x14ac:dyDescent="0.3">
      <c r="A98" s="149"/>
      <c r="B98" s="22"/>
      <c r="C98" s="22"/>
      <c r="D98" s="22"/>
      <c r="E98" s="22"/>
      <c r="F98" s="22"/>
      <c r="G98" s="22"/>
      <c r="H98" s="22"/>
      <c r="I98" s="22"/>
      <c r="J98" s="22"/>
      <c r="K98" s="22"/>
      <c r="L98" s="22"/>
      <c r="M98" s="22"/>
      <c r="N98" s="22"/>
      <c r="O98" s="22"/>
      <c r="P98" s="22"/>
      <c r="Q98" s="22"/>
      <c r="R98" s="22"/>
      <c r="S98" s="22"/>
      <c r="T98" s="22"/>
    </row>
    <row r="99" spans="1:20" x14ac:dyDescent="0.3">
      <c r="A99" s="22"/>
      <c r="B99" s="22"/>
      <c r="C99" s="22"/>
      <c r="D99" s="22"/>
      <c r="E99" s="22"/>
      <c r="F99" s="22"/>
      <c r="G99" s="22"/>
      <c r="H99" s="22"/>
      <c r="I99" s="22"/>
      <c r="J99" s="22"/>
      <c r="K99" s="22"/>
      <c r="L99" s="22"/>
      <c r="M99" s="22"/>
      <c r="N99" s="22"/>
      <c r="O99" s="22"/>
      <c r="P99" s="22"/>
      <c r="Q99" s="22"/>
      <c r="R99" s="22"/>
      <c r="S99" s="22"/>
      <c r="T99" s="22"/>
    </row>
    <row r="100" spans="1:20" x14ac:dyDescent="0.3">
      <c r="A100" s="22"/>
      <c r="B100" s="22"/>
      <c r="C100" s="22"/>
      <c r="D100" s="22"/>
      <c r="E100" s="22"/>
      <c r="F100" s="22"/>
      <c r="G100" s="22"/>
      <c r="H100" s="22"/>
      <c r="I100" s="22"/>
      <c r="J100" s="22"/>
      <c r="K100" s="22"/>
      <c r="L100" s="22"/>
      <c r="M100" s="22"/>
      <c r="N100" s="22"/>
      <c r="O100" s="22"/>
      <c r="P100" s="22"/>
      <c r="Q100" s="22"/>
      <c r="R100" s="22"/>
      <c r="S100" s="22"/>
      <c r="T100" s="22"/>
    </row>
    <row r="101" spans="1:20" ht="31.2" x14ac:dyDescent="0.3">
      <c r="A101" s="145" t="s">
        <v>311</v>
      </c>
      <c r="B101" s="145"/>
      <c r="C101" s="145"/>
      <c r="D101" s="145"/>
      <c r="E101" s="145"/>
      <c r="F101" s="145"/>
      <c r="G101" s="145"/>
      <c r="H101" s="145"/>
      <c r="I101" s="145"/>
      <c r="J101" s="145"/>
      <c r="K101" s="145"/>
      <c r="L101" s="145"/>
      <c r="M101" s="145"/>
      <c r="N101" s="145"/>
      <c r="O101" s="145"/>
      <c r="P101" s="145"/>
      <c r="Q101" s="145"/>
      <c r="R101" s="145"/>
      <c r="S101" s="145"/>
      <c r="T101" s="145"/>
    </row>
    <row r="102" spans="1:20" x14ac:dyDescent="0.3">
      <c r="A102" s="23"/>
      <c r="B102" s="23"/>
      <c r="C102" s="23"/>
      <c r="D102" s="23"/>
      <c r="E102" s="23"/>
      <c r="F102" s="23"/>
      <c r="G102" s="23"/>
      <c r="H102" s="23"/>
      <c r="I102" s="23"/>
      <c r="J102" s="23"/>
      <c r="K102" s="23"/>
      <c r="L102" s="23"/>
      <c r="M102" s="23"/>
      <c r="N102" s="23"/>
      <c r="O102" s="23"/>
      <c r="P102" s="23"/>
      <c r="Q102" s="23"/>
      <c r="R102" s="23"/>
      <c r="S102" s="23"/>
      <c r="T102" s="23"/>
    </row>
    <row r="103" spans="1:20" ht="25.8" x14ac:dyDescent="0.3">
      <c r="A103" s="23"/>
      <c r="B103" s="23"/>
      <c r="C103" s="151"/>
      <c r="D103" s="139" t="s">
        <v>322</v>
      </c>
      <c r="E103" s="139"/>
      <c r="F103" s="139"/>
      <c r="G103" s="139"/>
      <c r="H103" s="139"/>
      <c r="I103" s="139"/>
      <c r="J103" s="139"/>
      <c r="K103" s="139"/>
      <c r="L103" s="23"/>
      <c r="M103" s="139" t="s">
        <v>0</v>
      </c>
      <c r="N103" s="139"/>
      <c r="O103" s="23"/>
      <c r="P103" s="23"/>
      <c r="Q103" s="23"/>
      <c r="R103" s="23"/>
      <c r="S103" s="23"/>
      <c r="T103" s="23"/>
    </row>
    <row r="104" spans="1:20" ht="15.6" x14ac:dyDescent="0.3">
      <c r="A104" s="23"/>
      <c r="B104" s="23"/>
      <c r="C104" s="151"/>
      <c r="D104" s="120" t="s">
        <v>5</v>
      </c>
      <c r="E104" s="120"/>
      <c r="F104" s="120"/>
      <c r="G104" s="120"/>
      <c r="H104" s="120" t="s">
        <v>12</v>
      </c>
      <c r="I104" s="120"/>
      <c r="J104" s="120"/>
      <c r="K104" s="120"/>
      <c r="L104" s="23"/>
      <c r="M104" s="46" t="s">
        <v>88</v>
      </c>
      <c r="N104" s="65">
        <v>30</v>
      </c>
      <c r="O104" s="23"/>
      <c r="P104" s="23"/>
      <c r="Q104" s="23"/>
      <c r="R104" s="23"/>
      <c r="S104" s="23"/>
      <c r="T104" s="23"/>
    </row>
    <row r="105" spans="1:20" ht="15.6" x14ac:dyDescent="0.3">
      <c r="A105" s="23"/>
      <c r="B105" s="23"/>
      <c r="C105" s="152"/>
      <c r="D105" s="46" t="s">
        <v>84</v>
      </c>
      <c r="E105" s="46" t="s">
        <v>85</v>
      </c>
      <c r="F105" s="46" t="s">
        <v>315</v>
      </c>
      <c r="G105" s="46" t="s">
        <v>86</v>
      </c>
      <c r="H105" s="46" t="s">
        <v>84</v>
      </c>
      <c r="I105" s="46" t="s">
        <v>85</v>
      </c>
      <c r="J105" s="46" t="s">
        <v>315</v>
      </c>
      <c r="K105" s="46" t="s">
        <v>86</v>
      </c>
      <c r="L105" s="23"/>
      <c r="M105" s="46" t="s">
        <v>79</v>
      </c>
      <c r="N105" s="64">
        <v>101.5</v>
      </c>
      <c r="O105" s="23"/>
      <c r="P105" s="23"/>
      <c r="Q105" s="23"/>
      <c r="R105" s="23"/>
      <c r="S105" s="23"/>
      <c r="T105" s="23"/>
    </row>
    <row r="106" spans="1:20" ht="15.6" x14ac:dyDescent="0.3">
      <c r="A106" s="23"/>
      <c r="B106" s="23"/>
      <c r="C106" s="56" t="s">
        <v>83</v>
      </c>
      <c r="D106" s="65">
        <v>4</v>
      </c>
      <c r="E106" s="65">
        <v>7</v>
      </c>
      <c r="F106" s="65">
        <v>4</v>
      </c>
      <c r="G106" s="65">
        <v>8</v>
      </c>
      <c r="H106" s="65">
        <v>7</v>
      </c>
      <c r="I106" s="65">
        <v>6</v>
      </c>
      <c r="J106" s="65">
        <v>3</v>
      </c>
      <c r="K106" s="65">
        <v>5</v>
      </c>
      <c r="L106" s="23"/>
      <c r="M106" s="46" t="s">
        <v>314</v>
      </c>
      <c r="N106" s="65">
        <v>200</v>
      </c>
      <c r="O106" s="23"/>
      <c r="P106" s="23"/>
      <c r="Q106" s="23"/>
      <c r="R106" s="23"/>
      <c r="S106" s="23"/>
      <c r="T106" s="23"/>
    </row>
    <row r="107" spans="1:20" ht="15.6" x14ac:dyDescent="0.3">
      <c r="A107" s="23"/>
      <c r="B107" s="23"/>
      <c r="C107" s="57" t="s">
        <v>82</v>
      </c>
      <c r="D107" s="65">
        <v>3</v>
      </c>
      <c r="E107" s="65">
        <v>10</v>
      </c>
      <c r="F107" s="65">
        <v>7</v>
      </c>
      <c r="G107" s="65">
        <v>2</v>
      </c>
      <c r="H107" s="65">
        <v>8</v>
      </c>
      <c r="I107" s="65">
        <v>5</v>
      </c>
      <c r="J107" s="65">
        <v>10</v>
      </c>
      <c r="K107" s="65">
        <v>5</v>
      </c>
      <c r="L107" s="23"/>
      <c r="M107" s="46" t="s">
        <v>89</v>
      </c>
      <c r="N107" s="65">
        <v>51</v>
      </c>
      <c r="O107" s="23"/>
      <c r="P107" s="23"/>
      <c r="Q107" s="23"/>
      <c r="R107" s="23"/>
      <c r="S107" s="23"/>
      <c r="T107" s="23"/>
    </row>
    <row r="108" spans="1:20" ht="15.6" x14ac:dyDescent="0.3">
      <c r="A108" s="23"/>
      <c r="B108" s="23"/>
      <c r="C108" s="58" t="s">
        <v>81</v>
      </c>
      <c r="D108" s="65">
        <v>18</v>
      </c>
      <c r="E108" s="65">
        <v>7</v>
      </c>
      <c r="F108" s="65">
        <v>14</v>
      </c>
      <c r="G108" s="65">
        <v>16</v>
      </c>
      <c r="H108" s="65">
        <v>8</v>
      </c>
      <c r="I108" s="65">
        <v>16</v>
      </c>
      <c r="J108" s="65">
        <v>11</v>
      </c>
      <c r="K108" s="65">
        <v>15</v>
      </c>
      <c r="L108" s="23"/>
      <c r="M108" s="23"/>
      <c r="N108" s="23"/>
      <c r="O108" s="23"/>
      <c r="P108" s="23"/>
      <c r="Q108" s="23"/>
      <c r="R108" s="23"/>
      <c r="S108" s="23"/>
      <c r="T108" s="23"/>
    </row>
    <row r="109" spans="1:20" ht="15.6" x14ac:dyDescent="0.3">
      <c r="A109" s="23"/>
      <c r="B109" s="23"/>
      <c r="C109" s="59" t="s">
        <v>80</v>
      </c>
      <c r="D109" s="65">
        <v>5</v>
      </c>
      <c r="E109" s="65">
        <v>6</v>
      </c>
      <c r="F109" s="65">
        <v>5</v>
      </c>
      <c r="G109" s="65">
        <v>4</v>
      </c>
      <c r="H109" s="65">
        <v>7</v>
      </c>
      <c r="I109" s="65">
        <v>3</v>
      </c>
      <c r="J109" s="65">
        <v>6</v>
      </c>
      <c r="K109" s="65">
        <v>5</v>
      </c>
      <c r="L109" s="23"/>
      <c r="M109" s="23"/>
      <c r="N109" s="23"/>
      <c r="O109" s="23"/>
      <c r="P109" s="23"/>
      <c r="Q109" s="23"/>
      <c r="R109" s="23"/>
      <c r="S109" s="23"/>
      <c r="T109" s="23"/>
    </row>
    <row r="110" spans="1:20" x14ac:dyDescent="0.3">
      <c r="A110" s="23"/>
      <c r="B110" s="23"/>
      <c r="C110" s="23"/>
      <c r="D110" s="23"/>
      <c r="E110" s="23"/>
      <c r="F110" s="23"/>
      <c r="G110" s="23"/>
      <c r="H110" s="23"/>
      <c r="I110" s="23"/>
      <c r="J110" s="23"/>
      <c r="K110" s="23"/>
      <c r="L110" s="23"/>
      <c r="M110" s="23"/>
      <c r="N110" s="23"/>
      <c r="O110" s="23"/>
      <c r="P110" s="23"/>
      <c r="Q110" s="23"/>
      <c r="R110" s="23"/>
      <c r="S110" s="23"/>
      <c r="T110" s="23"/>
    </row>
    <row r="111" spans="1:20" x14ac:dyDescent="0.3">
      <c r="A111" s="144" t="s">
        <v>300</v>
      </c>
      <c r="B111" s="23"/>
      <c r="C111" s="23"/>
      <c r="D111" s="23"/>
      <c r="E111" s="23"/>
      <c r="F111" s="23"/>
      <c r="G111" s="23"/>
      <c r="H111" s="23"/>
      <c r="I111" s="23"/>
      <c r="J111" s="23"/>
      <c r="K111" s="23"/>
      <c r="L111" s="23"/>
      <c r="M111" s="23"/>
      <c r="N111" s="23"/>
      <c r="O111" s="23"/>
      <c r="P111" s="23"/>
      <c r="Q111" s="23"/>
      <c r="R111" s="23"/>
      <c r="S111" s="23"/>
      <c r="T111" s="23"/>
    </row>
    <row r="112" spans="1:20" x14ac:dyDescent="0.3">
      <c r="A112" s="144"/>
      <c r="B112" s="23"/>
      <c r="C112" s="23"/>
      <c r="D112" s="23"/>
      <c r="E112" s="23"/>
      <c r="F112" s="23"/>
      <c r="G112" s="23"/>
      <c r="H112" s="23"/>
      <c r="I112" s="23"/>
      <c r="J112" s="23"/>
      <c r="K112" s="23"/>
      <c r="L112" s="23"/>
      <c r="M112" s="23"/>
      <c r="N112" s="23"/>
      <c r="O112" s="23"/>
      <c r="P112" s="23"/>
      <c r="Q112" s="23"/>
      <c r="R112" s="23"/>
      <c r="S112" s="23"/>
      <c r="T112" s="23"/>
    </row>
    <row r="113" spans="1:20" ht="28.8" x14ac:dyDescent="0.3">
      <c r="A113" s="149"/>
      <c r="B113" s="23"/>
      <c r="C113" s="61" t="s">
        <v>274</v>
      </c>
      <c r="D113" s="61" t="s">
        <v>275</v>
      </c>
      <c r="E113" s="61" t="s">
        <v>276</v>
      </c>
      <c r="F113" s="61" t="s">
        <v>320</v>
      </c>
      <c r="G113" s="61" t="s">
        <v>277</v>
      </c>
      <c r="H113" s="61" t="s">
        <v>302</v>
      </c>
      <c r="I113" s="61" t="s">
        <v>303</v>
      </c>
      <c r="J113" s="61" t="s">
        <v>312</v>
      </c>
      <c r="K113" s="61" t="s">
        <v>297</v>
      </c>
      <c r="L113" s="61" t="s">
        <v>298</v>
      </c>
      <c r="M113" s="61" t="s">
        <v>321</v>
      </c>
      <c r="N113" s="61" t="s">
        <v>299</v>
      </c>
      <c r="O113" s="61" t="s">
        <v>305</v>
      </c>
      <c r="P113" s="61" t="s">
        <v>313</v>
      </c>
      <c r="Q113" s="61" t="s">
        <v>310</v>
      </c>
      <c r="R113" s="23"/>
      <c r="S113" s="23"/>
      <c r="T113" s="23"/>
    </row>
    <row r="114" spans="1:20" x14ac:dyDescent="0.3">
      <c r="A114" s="149"/>
      <c r="B114" s="23"/>
      <c r="C114" s="62" t="s">
        <v>159</v>
      </c>
      <c r="D114" s="65">
        <v>16</v>
      </c>
      <c r="E114" s="65">
        <v>9</v>
      </c>
      <c r="F114" s="65">
        <v>15</v>
      </c>
      <c r="G114" s="65">
        <v>22</v>
      </c>
      <c r="H114" s="67">
        <v>22</v>
      </c>
      <c r="I114" s="67">
        <v>9</v>
      </c>
      <c r="J114" s="67">
        <v>62</v>
      </c>
      <c r="K114" s="65">
        <v>32</v>
      </c>
      <c r="L114" s="65">
        <v>16</v>
      </c>
      <c r="M114" s="65">
        <v>20</v>
      </c>
      <c r="N114" s="65">
        <v>36</v>
      </c>
      <c r="O114" s="67">
        <v>36</v>
      </c>
      <c r="P114" s="67">
        <v>16</v>
      </c>
      <c r="Q114" s="67">
        <v>104</v>
      </c>
      <c r="R114" s="23"/>
      <c r="S114" s="23"/>
      <c r="T114" s="23"/>
    </row>
    <row r="115" spans="1:20" x14ac:dyDescent="0.3">
      <c r="A115" s="149"/>
      <c r="B115" s="23"/>
      <c r="C115" s="62" t="s">
        <v>154</v>
      </c>
      <c r="D115" s="65">
        <v>27</v>
      </c>
      <c r="E115" s="65">
        <v>31</v>
      </c>
      <c r="F115" s="65">
        <v>26</v>
      </c>
      <c r="G115" s="65">
        <v>17</v>
      </c>
      <c r="H115" s="67">
        <v>31</v>
      </c>
      <c r="I115" s="67">
        <v>17</v>
      </c>
      <c r="J115" s="67">
        <v>101</v>
      </c>
      <c r="K115" s="65">
        <v>45</v>
      </c>
      <c r="L115" s="65">
        <v>32</v>
      </c>
      <c r="M115" s="65">
        <v>36</v>
      </c>
      <c r="N115" s="65">
        <v>19</v>
      </c>
      <c r="O115" s="67">
        <v>45</v>
      </c>
      <c r="P115" s="67">
        <v>19</v>
      </c>
      <c r="Q115" s="67">
        <v>132</v>
      </c>
      <c r="R115" s="23"/>
      <c r="S115" s="23"/>
      <c r="T115" s="23"/>
    </row>
    <row r="116" spans="1:20" x14ac:dyDescent="0.3">
      <c r="A116" s="149"/>
      <c r="B116" s="23"/>
      <c r="C116" s="62" t="s">
        <v>150</v>
      </c>
      <c r="D116" s="65">
        <v>13</v>
      </c>
      <c r="E116" s="65">
        <v>45</v>
      </c>
      <c r="F116" s="65">
        <v>46</v>
      </c>
      <c r="G116" s="65">
        <v>24</v>
      </c>
      <c r="H116" s="67">
        <v>46</v>
      </c>
      <c r="I116" s="67">
        <v>13</v>
      </c>
      <c r="J116" s="67">
        <v>128</v>
      </c>
      <c r="K116" s="65">
        <v>35</v>
      </c>
      <c r="L116" s="65">
        <v>13</v>
      </c>
      <c r="M116" s="65">
        <v>32</v>
      </c>
      <c r="N116" s="65">
        <v>43</v>
      </c>
      <c r="O116" s="67">
        <v>43</v>
      </c>
      <c r="P116" s="67">
        <v>13</v>
      </c>
      <c r="Q116" s="67">
        <v>123</v>
      </c>
      <c r="R116" s="23"/>
      <c r="S116" s="23"/>
      <c r="T116" s="23"/>
    </row>
    <row r="117" spans="1:20" x14ac:dyDescent="0.3">
      <c r="A117" s="149"/>
      <c r="B117" s="23"/>
      <c r="C117" s="62" t="s">
        <v>164</v>
      </c>
      <c r="D117" s="65">
        <v>38</v>
      </c>
      <c r="E117" s="65">
        <v>32</v>
      </c>
      <c r="F117" s="65">
        <v>29</v>
      </c>
      <c r="G117" s="65">
        <v>13</v>
      </c>
      <c r="H117" s="67">
        <v>38</v>
      </c>
      <c r="I117" s="67">
        <v>13</v>
      </c>
      <c r="J117" s="67">
        <v>112</v>
      </c>
      <c r="K117" s="65">
        <v>14</v>
      </c>
      <c r="L117" s="65">
        <v>50</v>
      </c>
      <c r="M117" s="65">
        <v>27</v>
      </c>
      <c r="N117" s="65">
        <v>11</v>
      </c>
      <c r="O117" s="67">
        <v>50</v>
      </c>
      <c r="P117" s="67">
        <v>11</v>
      </c>
      <c r="Q117" s="67">
        <v>102</v>
      </c>
      <c r="R117" s="23"/>
      <c r="S117" s="23"/>
      <c r="T117" s="23"/>
    </row>
    <row r="118" spans="1:20" x14ac:dyDescent="0.3">
      <c r="A118" s="149"/>
      <c r="B118" s="23"/>
      <c r="C118" s="62" t="s">
        <v>169</v>
      </c>
      <c r="D118" s="65">
        <v>12</v>
      </c>
      <c r="E118" s="65">
        <v>13</v>
      </c>
      <c r="F118" s="65">
        <v>30</v>
      </c>
      <c r="G118" s="65">
        <v>6</v>
      </c>
      <c r="H118" s="67">
        <v>30</v>
      </c>
      <c r="I118" s="67">
        <v>6</v>
      </c>
      <c r="J118" s="67">
        <v>61</v>
      </c>
      <c r="K118" s="65">
        <v>8</v>
      </c>
      <c r="L118" s="65">
        <v>42</v>
      </c>
      <c r="M118" s="65">
        <v>27</v>
      </c>
      <c r="N118" s="65">
        <v>16</v>
      </c>
      <c r="O118" s="67">
        <v>42</v>
      </c>
      <c r="P118" s="67">
        <v>8</v>
      </c>
      <c r="Q118" s="67">
        <v>93</v>
      </c>
      <c r="R118" s="23"/>
      <c r="S118" s="23"/>
      <c r="T118" s="23"/>
    </row>
    <row r="119" spans="1:20" x14ac:dyDescent="0.3">
      <c r="A119" s="149"/>
      <c r="B119" s="23"/>
      <c r="C119" s="62" t="s">
        <v>197</v>
      </c>
      <c r="D119" s="65">
        <v>19</v>
      </c>
      <c r="E119" s="65">
        <v>28</v>
      </c>
      <c r="F119" s="65">
        <v>3</v>
      </c>
      <c r="G119" s="65">
        <v>32</v>
      </c>
      <c r="H119" s="67">
        <v>32</v>
      </c>
      <c r="I119" s="67">
        <v>3</v>
      </c>
      <c r="J119" s="67">
        <v>82</v>
      </c>
      <c r="K119" s="65">
        <v>3</v>
      </c>
      <c r="L119" s="65">
        <v>34</v>
      </c>
      <c r="M119" s="65">
        <v>34</v>
      </c>
      <c r="N119" s="65">
        <v>42</v>
      </c>
      <c r="O119" s="67">
        <v>42</v>
      </c>
      <c r="P119" s="67">
        <v>3</v>
      </c>
      <c r="Q119" s="67">
        <v>113</v>
      </c>
      <c r="R119" s="23"/>
      <c r="S119" s="23"/>
      <c r="T119" s="23"/>
    </row>
    <row r="120" spans="1:20" x14ac:dyDescent="0.3">
      <c r="A120" s="149"/>
      <c r="B120" s="23"/>
      <c r="C120" s="62" t="s">
        <v>198</v>
      </c>
      <c r="D120" s="65">
        <v>4</v>
      </c>
      <c r="E120" s="65">
        <v>30</v>
      </c>
      <c r="F120" s="65">
        <v>20</v>
      </c>
      <c r="G120" s="65">
        <v>47</v>
      </c>
      <c r="H120" s="67">
        <v>47</v>
      </c>
      <c r="I120" s="67">
        <v>4</v>
      </c>
      <c r="J120" s="67">
        <v>101</v>
      </c>
      <c r="K120" s="65">
        <v>32</v>
      </c>
      <c r="L120" s="65">
        <v>18</v>
      </c>
      <c r="M120" s="65">
        <v>25</v>
      </c>
      <c r="N120" s="65">
        <v>14</v>
      </c>
      <c r="O120" s="67">
        <v>32</v>
      </c>
      <c r="P120" s="67">
        <v>14</v>
      </c>
      <c r="Q120" s="67">
        <v>89</v>
      </c>
      <c r="R120" s="23"/>
      <c r="S120" s="23"/>
      <c r="T120" s="23"/>
    </row>
    <row r="121" spans="1:20" x14ac:dyDescent="0.3">
      <c r="A121" s="149"/>
      <c r="B121" s="23"/>
      <c r="C121" s="62" t="s">
        <v>193</v>
      </c>
      <c r="D121" s="65">
        <v>13</v>
      </c>
      <c r="E121" s="65">
        <v>46</v>
      </c>
      <c r="F121" s="65">
        <v>38</v>
      </c>
      <c r="G121" s="65">
        <v>19</v>
      </c>
      <c r="H121" s="67">
        <v>46</v>
      </c>
      <c r="I121" s="67">
        <v>13</v>
      </c>
      <c r="J121" s="67">
        <v>116</v>
      </c>
      <c r="K121" s="65">
        <v>29</v>
      </c>
      <c r="L121" s="65">
        <v>4</v>
      </c>
      <c r="M121" s="65">
        <v>6</v>
      </c>
      <c r="N121" s="65">
        <v>1</v>
      </c>
      <c r="O121" s="67">
        <v>29</v>
      </c>
      <c r="P121" s="67">
        <v>1</v>
      </c>
      <c r="Q121" s="67">
        <v>40</v>
      </c>
      <c r="R121" s="23"/>
      <c r="S121" s="23"/>
      <c r="T121" s="23"/>
    </row>
    <row r="122" spans="1:20" x14ac:dyDescent="0.3">
      <c r="A122" s="149"/>
      <c r="B122" s="23"/>
      <c r="C122" s="62" t="s">
        <v>167</v>
      </c>
      <c r="D122" s="65">
        <v>3</v>
      </c>
      <c r="E122" s="65">
        <v>32</v>
      </c>
      <c r="F122" s="65">
        <v>45</v>
      </c>
      <c r="G122" s="65">
        <v>25</v>
      </c>
      <c r="H122" s="67">
        <v>45</v>
      </c>
      <c r="I122" s="67">
        <v>3</v>
      </c>
      <c r="J122" s="67">
        <v>105</v>
      </c>
      <c r="K122" s="65">
        <v>1</v>
      </c>
      <c r="L122" s="65">
        <v>22</v>
      </c>
      <c r="M122" s="65">
        <v>9</v>
      </c>
      <c r="N122" s="65">
        <v>24</v>
      </c>
      <c r="O122" s="67">
        <v>24</v>
      </c>
      <c r="P122" s="67">
        <v>1</v>
      </c>
      <c r="Q122" s="67">
        <v>56</v>
      </c>
      <c r="R122" s="23"/>
      <c r="S122" s="23"/>
      <c r="T122" s="23"/>
    </row>
    <row r="123" spans="1:20" x14ac:dyDescent="0.3">
      <c r="A123" s="149"/>
      <c r="B123" s="23"/>
      <c r="C123" s="62" t="s">
        <v>153</v>
      </c>
      <c r="D123" s="65">
        <v>50</v>
      </c>
      <c r="E123" s="65">
        <v>50</v>
      </c>
      <c r="F123" s="65">
        <v>50</v>
      </c>
      <c r="G123" s="65">
        <v>50</v>
      </c>
      <c r="H123" s="67">
        <v>50</v>
      </c>
      <c r="I123" s="67">
        <v>50</v>
      </c>
      <c r="J123" s="67">
        <v>200</v>
      </c>
      <c r="K123" s="65">
        <v>4</v>
      </c>
      <c r="L123" s="65">
        <v>18</v>
      </c>
      <c r="M123" s="65">
        <v>1</v>
      </c>
      <c r="N123" s="65">
        <v>40</v>
      </c>
      <c r="O123" s="67">
        <v>40</v>
      </c>
      <c r="P123" s="67">
        <v>1</v>
      </c>
      <c r="Q123" s="67">
        <v>63</v>
      </c>
      <c r="R123" s="23"/>
      <c r="S123" s="23"/>
      <c r="T123" s="23"/>
    </row>
    <row r="124" spans="1:20" x14ac:dyDescent="0.3">
      <c r="A124" s="149"/>
      <c r="B124" s="23"/>
      <c r="C124" s="62" t="s">
        <v>194</v>
      </c>
      <c r="D124" s="65">
        <v>20</v>
      </c>
      <c r="E124" s="65">
        <v>29</v>
      </c>
      <c r="F124" s="65">
        <v>9</v>
      </c>
      <c r="G124" s="65">
        <v>26</v>
      </c>
      <c r="H124" s="67">
        <v>29</v>
      </c>
      <c r="I124" s="67">
        <v>9</v>
      </c>
      <c r="J124" s="67">
        <v>84</v>
      </c>
      <c r="K124" s="65">
        <v>30</v>
      </c>
      <c r="L124" s="65">
        <v>38</v>
      </c>
      <c r="M124" s="65">
        <v>22</v>
      </c>
      <c r="N124" s="65">
        <v>8</v>
      </c>
      <c r="O124" s="67">
        <v>38</v>
      </c>
      <c r="P124" s="67">
        <v>8</v>
      </c>
      <c r="Q124" s="67">
        <v>98</v>
      </c>
      <c r="R124" s="23"/>
      <c r="S124" s="23"/>
      <c r="T124" s="23"/>
    </row>
    <row r="125" spans="1:20" x14ac:dyDescent="0.3">
      <c r="A125" s="149"/>
      <c r="B125" s="23"/>
      <c r="C125" s="62" t="s">
        <v>192</v>
      </c>
      <c r="D125" s="65">
        <v>18</v>
      </c>
      <c r="E125" s="65">
        <v>9</v>
      </c>
      <c r="F125" s="65">
        <v>36</v>
      </c>
      <c r="G125" s="65">
        <v>46</v>
      </c>
      <c r="H125" s="67">
        <v>46</v>
      </c>
      <c r="I125" s="67">
        <v>9</v>
      </c>
      <c r="J125" s="67">
        <v>109</v>
      </c>
      <c r="K125" s="65">
        <v>33</v>
      </c>
      <c r="L125" s="65">
        <v>12</v>
      </c>
      <c r="M125" s="65">
        <v>10</v>
      </c>
      <c r="N125" s="65">
        <v>9</v>
      </c>
      <c r="O125" s="67">
        <v>33</v>
      </c>
      <c r="P125" s="67">
        <v>9</v>
      </c>
      <c r="Q125" s="67">
        <v>64</v>
      </c>
      <c r="R125" s="23"/>
      <c r="S125" s="23"/>
      <c r="T125" s="23"/>
    </row>
    <row r="126" spans="1:20" x14ac:dyDescent="0.3">
      <c r="A126" s="149"/>
      <c r="B126" s="23"/>
      <c r="C126" s="62" t="s">
        <v>156</v>
      </c>
      <c r="D126" s="65">
        <v>17</v>
      </c>
      <c r="E126" s="65">
        <v>35</v>
      </c>
      <c r="F126" s="65">
        <v>21</v>
      </c>
      <c r="G126" s="65">
        <v>46</v>
      </c>
      <c r="H126" s="67">
        <v>46</v>
      </c>
      <c r="I126" s="67">
        <v>17</v>
      </c>
      <c r="J126" s="67">
        <v>119</v>
      </c>
      <c r="K126" s="65">
        <v>17</v>
      </c>
      <c r="L126" s="65">
        <v>20</v>
      </c>
      <c r="M126" s="65">
        <v>2</v>
      </c>
      <c r="N126" s="65">
        <v>4</v>
      </c>
      <c r="O126" s="67">
        <v>20</v>
      </c>
      <c r="P126" s="67">
        <v>2</v>
      </c>
      <c r="Q126" s="67">
        <v>43</v>
      </c>
      <c r="R126" s="23"/>
      <c r="S126" s="23"/>
      <c r="T126" s="23"/>
    </row>
    <row r="127" spans="1:20" x14ac:dyDescent="0.3">
      <c r="A127" s="149"/>
      <c r="B127" s="23"/>
      <c r="C127" s="62" t="s">
        <v>199</v>
      </c>
      <c r="D127" s="65">
        <v>25</v>
      </c>
      <c r="E127" s="65">
        <v>31</v>
      </c>
      <c r="F127" s="65">
        <v>30</v>
      </c>
      <c r="G127" s="65">
        <v>47</v>
      </c>
      <c r="H127" s="67">
        <v>47</v>
      </c>
      <c r="I127" s="67">
        <v>25</v>
      </c>
      <c r="J127" s="67">
        <v>133</v>
      </c>
      <c r="K127" s="65">
        <v>28</v>
      </c>
      <c r="L127" s="65">
        <v>11</v>
      </c>
      <c r="M127" s="65">
        <v>30</v>
      </c>
      <c r="N127" s="65">
        <v>21</v>
      </c>
      <c r="O127" s="67">
        <v>30</v>
      </c>
      <c r="P127" s="67">
        <v>11</v>
      </c>
      <c r="Q127" s="67">
        <v>90</v>
      </c>
      <c r="R127" s="23"/>
      <c r="S127" s="23"/>
      <c r="T127" s="23"/>
    </row>
    <row r="128" spans="1:20" x14ac:dyDescent="0.3">
      <c r="A128" s="149"/>
      <c r="B128" s="23"/>
      <c r="C128" s="62" t="s">
        <v>155</v>
      </c>
      <c r="D128" s="65">
        <v>11</v>
      </c>
      <c r="E128" s="65">
        <v>34</v>
      </c>
      <c r="F128" s="65">
        <v>6</v>
      </c>
      <c r="G128" s="65">
        <v>16</v>
      </c>
      <c r="H128" s="67">
        <v>34</v>
      </c>
      <c r="I128" s="67">
        <v>6</v>
      </c>
      <c r="J128" s="67">
        <v>67</v>
      </c>
      <c r="K128" s="65">
        <v>50</v>
      </c>
      <c r="L128" s="65">
        <v>7</v>
      </c>
      <c r="M128" s="65">
        <v>37</v>
      </c>
      <c r="N128" s="65">
        <v>11</v>
      </c>
      <c r="O128" s="67">
        <v>50</v>
      </c>
      <c r="P128" s="67">
        <v>7</v>
      </c>
      <c r="Q128" s="67">
        <v>105</v>
      </c>
      <c r="R128" s="23"/>
      <c r="S128" s="23"/>
      <c r="T128" s="23"/>
    </row>
    <row r="129" spans="1:20" x14ac:dyDescent="0.3">
      <c r="A129" s="149"/>
      <c r="B129" s="23"/>
      <c r="C129" s="62" t="s">
        <v>196</v>
      </c>
      <c r="D129" s="65">
        <v>41</v>
      </c>
      <c r="E129" s="65">
        <v>25</v>
      </c>
      <c r="F129" s="65">
        <v>8</v>
      </c>
      <c r="G129" s="65">
        <v>40</v>
      </c>
      <c r="H129" s="67">
        <v>41</v>
      </c>
      <c r="I129" s="67">
        <v>8</v>
      </c>
      <c r="J129" s="67">
        <v>114</v>
      </c>
      <c r="K129" s="65">
        <v>18</v>
      </c>
      <c r="L129" s="65">
        <v>11</v>
      </c>
      <c r="M129" s="65">
        <v>21</v>
      </c>
      <c r="N129" s="65">
        <v>42</v>
      </c>
      <c r="O129" s="67">
        <v>42</v>
      </c>
      <c r="P129" s="67">
        <v>11</v>
      </c>
      <c r="Q129" s="67">
        <v>92</v>
      </c>
      <c r="R129" s="23"/>
      <c r="S129" s="23"/>
      <c r="T129" s="23"/>
    </row>
    <row r="130" spans="1:20" x14ac:dyDescent="0.3">
      <c r="A130" s="149"/>
      <c r="B130" s="23"/>
      <c r="C130" s="62" t="s">
        <v>151</v>
      </c>
      <c r="D130" s="65">
        <v>23</v>
      </c>
      <c r="E130" s="65">
        <v>39</v>
      </c>
      <c r="F130" s="65">
        <v>18</v>
      </c>
      <c r="G130" s="65">
        <v>26</v>
      </c>
      <c r="H130" s="67">
        <v>39</v>
      </c>
      <c r="I130" s="67">
        <v>18</v>
      </c>
      <c r="J130" s="67">
        <v>106</v>
      </c>
      <c r="K130" s="65">
        <v>48</v>
      </c>
      <c r="L130" s="65">
        <v>10</v>
      </c>
      <c r="M130" s="65">
        <v>33</v>
      </c>
      <c r="N130" s="65">
        <v>18</v>
      </c>
      <c r="O130" s="67">
        <v>48</v>
      </c>
      <c r="P130" s="67">
        <v>10</v>
      </c>
      <c r="Q130" s="67">
        <v>109</v>
      </c>
      <c r="R130" s="23"/>
      <c r="S130" s="23"/>
      <c r="T130" s="23"/>
    </row>
    <row r="131" spans="1:20" x14ac:dyDescent="0.3">
      <c r="A131" s="149"/>
      <c r="B131" s="23"/>
      <c r="C131" s="62" t="s">
        <v>195</v>
      </c>
      <c r="D131" s="65">
        <v>20</v>
      </c>
      <c r="E131" s="65">
        <v>34</v>
      </c>
      <c r="F131" s="65">
        <v>24</v>
      </c>
      <c r="G131" s="65">
        <v>17</v>
      </c>
      <c r="H131" s="67">
        <v>34</v>
      </c>
      <c r="I131" s="67">
        <v>17</v>
      </c>
      <c r="J131" s="67">
        <v>95</v>
      </c>
      <c r="K131" s="65">
        <v>14</v>
      </c>
      <c r="L131" s="65">
        <v>36</v>
      </c>
      <c r="M131" s="65">
        <v>5</v>
      </c>
      <c r="N131" s="65">
        <v>19</v>
      </c>
      <c r="O131" s="67">
        <v>36</v>
      </c>
      <c r="P131" s="67">
        <v>5</v>
      </c>
      <c r="Q131" s="67">
        <v>74</v>
      </c>
      <c r="R131" s="23"/>
      <c r="S131" s="23"/>
      <c r="T131" s="23"/>
    </row>
    <row r="132" spans="1:20" x14ac:dyDescent="0.3">
      <c r="A132" s="149"/>
      <c r="B132" s="23"/>
      <c r="C132" s="62" t="s">
        <v>152</v>
      </c>
      <c r="D132" s="65">
        <v>7</v>
      </c>
      <c r="E132" s="65">
        <v>47</v>
      </c>
      <c r="F132" s="65">
        <v>4</v>
      </c>
      <c r="G132" s="65">
        <v>7</v>
      </c>
      <c r="H132" s="67">
        <v>47</v>
      </c>
      <c r="I132" s="67">
        <v>4</v>
      </c>
      <c r="J132" s="67">
        <v>65</v>
      </c>
      <c r="K132" s="65">
        <v>38</v>
      </c>
      <c r="L132" s="65">
        <v>5</v>
      </c>
      <c r="M132" s="65">
        <v>37</v>
      </c>
      <c r="N132" s="65">
        <v>20</v>
      </c>
      <c r="O132" s="67">
        <v>38</v>
      </c>
      <c r="P132" s="67">
        <v>5</v>
      </c>
      <c r="Q132" s="67">
        <v>100</v>
      </c>
      <c r="R132" s="23"/>
      <c r="S132" s="23"/>
      <c r="T132" s="23"/>
    </row>
    <row r="133" spans="1:20" x14ac:dyDescent="0.3">
      <c r="A133" s="149"/>
      <c r="B133" s="23"/>
      <c r="C133" s="62" t="s">
        <v>166</v>
      </c>
      <c r="D133" s="65">
        <v>15</v>
      </c>
      <c r="E133" s="65">
        <v>37</v>
      </c>
      <c r="F133" s="65">
        <v>37</v>
      </c>
      <c r="G133" s="65">
        <v>27</v>
      </c>
      <c r="H133" s="67">
        <v>37</v>
      </c>
      <c r="I133" s="67">
        <v>15</v>
      </c>
      <c r="J133" s="67">
        <v>116</v>
      </c>
      <c r="K133" s="65">
        <v>9</v>
      </c>
      <c r="L133" s="65">
        <v>29</v>
      </c>
      <c r="M133" s="65">
        <v>14</v>
      </c>
      <c r="N133" s="65">
        <v>34</v>
      </c>
      <c r="O133" s="67">
        <v>34</v>
      </c>
      <c r="P133" s="67">
        <v>9</v>
      </c>
      <c r="Q133" s="67">
        <v>86</v>
      </c>
      <c r="R133" s="23"/>
      <c r="S133" s="23"/>
      <c r="T133" s="23"/>
    </row>
    <row r="134" spans="1:20" x14ac:dyDescent="0.3">
      <c r="A134" s="149"/>
      <c r="B134" s="23"/>
      <c r="C134" s="62" t="s">
        <v>168</v>
      </c>
      <c r="D134" s="65">
        <v>48</v>
      </c>
      <c r="E134" s="65">
        <v>2</v>
      </c>
      <c r="F134" s="65">
        <v>19</v>
      </c>
      <c r="G134" s="65">
        <v>28</v>
      </c>
      <c r="H134" s="67">
        <v>48</v>
      </c>
      <c r="I134" s="67">
        <v>2</v>
      </c>
      <c r="J134" s="67">
        <v>97</v>
      </c>
      <c r="K134" s="65">
        <v>39</v>
      </c>
      <c r="L134" s="65">
        <v>41</v>
      </c>
      <c r="M134" s="65">
        <v>30</v>
      </c>
      <c r="N134" s="65">
        <v>29</v>
      </c>
      <c r="O134" s="67">
        <v>41</v>
      </c>
      <c r="P134" s="67">
        <v>29</v>
      </c>
      <c r="Q134" s="67">
        <v>139</v>
      </c>
      <c r="R134" s="23"/>
      <c r="S134" s="23"/>
      <c r="T134" s="23"/>
    </row>
    <row r="135" spans="1:20" x14ac:dyDescent="0.3">
      <c r="A135" s="149"/>
      <c r="B135" s="23"/>
      <c r="C135" s="62" t="s">
        <v>190</v>
      </c>
      <c r="D135" s="65">
        <v>35</v>
      </c>
      <c r="E135" s="65">
        <v>6</v>
      </c>
      <c r="F135" s="65">
        <v>16</v>
      </c>
      <c r="G135" s="65">
        <v>42</v>
      </c>
      <c r="H135" s="67">
        <v>42</v>
      </c>
      <c r="I135" s="67">
        <v>6</v>
      </c>
      <c r="J135" s="67">
        <v>99</v>
      </c>
      <c r="K135" s="65">
        <v>48</v>
      </c>
      <c r="L135" s="65">
        <v>35</v>
      </c>
      <c r="M135" s="65">
        <v>29</v>
      </c>
      <c r="N135" s="65">
        <v>19</v>
      </c>
      <c r="O135" s="67">
        <v>48</v>
      </c>
      <c r="P135" s="67">
        <v>19</v>
      </c>
      <c r="Q135" s="67">
        <v>131</v>
      </c>
      <c r="R135" s="23"/>
      <c r="S135" s="23"/>
      <c r="T135" s="23"/>
    </row>
    <row r="136" spans="1:20" x14ac:dyDescent="0.3">
      <c r="A136" s="149"/>
      <c r="B136" s="23"/>
      <c r="C136" s="62" t="s">
        <v>162</v>
      </c>
      <c r="D136" s="65">
        <v>3</v>
      </c>
      <c r="E136" s="65">
        <v>46</v>
      </c>
      <c r="F136" s="65">
        <v>29</v>
      </c>
      <c r="G136" s="65">
        <v>16</v>
      </c>
      <c r="H136" s="67">
        <v>46</v>
      </c>
      <c r="I136" s="67">
        <v>3</v>
      </c>
      <c r="J136" s="67">
        <v>94</v>
      </c>
      <c r="K136" s="65">
        <v>47</v>
      </c>
      <c r="L136" s="65">
        <v>40</v>
      </c>
      <c r="M136" s="65">
        <v>46</v>
      </c>
      <c r="N136" s="65">
        <v>29</v>
      </c>
      <c r="O136" s="67">
        <v>47</v>
      </c>
      <c r="P136" s="67">
        <v>29</v>
      </c>
      <c r="Q136" s="67">
        <v>162</v>
      </c>
      <c r="R136" s="23"/>
      <c r="S136" s="23"/>
      <c r="T136" s="23"/>
    </row>
    <row r="137" spans="1:20" x14ac:dyDescent="0.3">
      <c r="A137" s="149"/>
      <c r="B137" s="23"/>
      <c r="C137" s="62" t="s">
        <v>191</v>
      </c>
      <c r="D137" s="65">
        <v>17</v>
      </c>
      <c r="E137" s="65">
        <v>6</v>
      </c>
      <c r="F137" s="65">
        <v>44</v>
      </c>
      <c r="G137" s="65">
        <v>29</v>
      </c>
      <c r="H137" s="67">
        <v>44</v>
      </c>
      <c r="I137" s="67">
        <v>6</v>
      </c>
      <c r="J137" s="67">
        <v>96</v>
      </c>
      <c r="K137" s="65">
        <v>8</v>
      </c>
      <c r="L137" s="65">
        <v>19</v>
      </c>
      <c r="M137" s="65">
        <v>50</v>
      </c>
      <c r="N137" s="65">
        <v>33</v>
      </c>
      <c r="O137" s="67">
        <v>50</v>
      </c>
      <c r="P137" s="67">
        <v>8</v>
      </c>
      <c r="Q137" s="67">
        <v>110</v>
      </c>
      <c r="R137" s="23"/>
      <c r="S137" s="23"/>
      <c r="T137" s="23"/>
    </row>
    <row r="138" spans="1:20" x14ac:dyDescent="0.3">
      <c r="A138" s="149"/>
      <c r="B138" s="23"/>
      <c r="C138" s="62" t="s">
        <v>160</v>
      </c>
      <c r="D138" s="65">
        <v>35</v>
      </c>
      <c r="E138" s="65">
        <v>45</v>
      </c>
      <c r="F138" s="65">
        <v>29</v>
      </c>
      <c r="G138" s="65">
        <v>30</v>
      </c>
      <c r="H138" s="67">
        <v>45</v>
      </c>
      <c r="I138" s="67">
        <v>29</v>
      </c>
      <c r="J138" s="67">
        <v>139</v>
      </c>
      <c r="K138" s="65">
        <v>40</v>
      </c>
      <c r="L138" s="65">
        <v>11</v>
      </c>
      <c r="M138" s="65">
        <v>36</v>
      </c>
      <c r="N138" s="65">
        <v>36</v>
      </c>
      <c r="O138" s="67">
        <v>40</v>
      </c>
      <c r="P138" s="67">
        <v>11</v>
      </c>
      <c r="Q138" s="67">
        <v>123</v>
      </c>
      <c r="R138" s="23"/>
      <c r="S138" s="23"/>
      <c r="T138" s="23"/>
    </row>
    <row r="139" spans="1:20" x14ac:dyDescent="0.3">
      <c r="A139" s="149"/>
      <c r="B139" s="23"/>
      <c r="C139" s="62" t="s">
        <v>158</v>
      </c>
      <c r="D139" s="65">
        <v>26</v>
      </c>
      <c r="E139" s="65">
        <v>46</v>
      </c>
      <c r="F139" s="65">
        <v>15</v>
      </c>
      <c r="G139" s="65">
        <v>3</v>
      </c>
      <c r="H139" s="67">
        <v>46</v>
      </c>
      <c r="I139" s="67">
        <v>3</v>
      </c>
      <c r="J139" s="67">
        <v>90</v>
      </c>
      <c r="K139" s="65">
        <v>8</v>
      </c>
      <c r="L139" s="65">
        <v>50</v>
      </c>
      <c r="M139" s="65">
        <v>19</v>
      </c>
      <c r="N139" s="65">
        <v>37</v>
      </c>
      <c r="O139" s="67">
        <v>50</v>
      </c>
      <c r="P139" s="67">
        <v>8</v>
      </c>
      <c r="Q139" s="67">
        <v>114</v>
      </c>
      <c r="R139" s="23"/>
      <c r="S139" s="23"/>
      <c r="T139" s="23"/>
    </row>
    <row r="140" spans="1:20" x14ac:dyDescent="0.3">
      <c r="A140" s="149"/>
      <c r="B140" s="23"/>
      <c r="C140" s="62" t="s">
        <v>161</v>
      </c>
      <c r="D140" s="65">
        <v>19</v>
      </c>
      <c r="E140" s="65">
        <v>20</v>
      </c>
      <c r="F140" s="65">
        <v>33</v>
      </c>
      <c r="G140" s="65">
        <v>46</v>
      </c>
      <c r="H140" s="67">
        <v>46</v>
      </c>
      <c r="I140" s="67">
        <v>19</v>
      </c>
      <c r="J140" s="67">
        <v>118</v>
      </c>
      <c r="K140" s="65">
        <v>33</v>
      </c>
      <c r="L140" s="65">
        <v>15</v>
      </c>
      <c r="M140" s="65">
        <v>47</v>
      </c>
      <c r="N140" s="65">
        <v>20</v>
      </c>
      <c r="O140" s="67">
        <v>47</v>
      </c>
      <c r="P140" s="67">
        <v>15</v>
      </c>
      <c r="Q140" s="67">
        <v>115</v>
      </c>
      <c r="R140" s="23"/>
      <c r="S140" s="23"/>
      <c r="T140" s="23"/>
    </row>
    <row r="141" spans="1:20" x14ac:dyDescent="0.3">
      <c r="A141" s="149"/>
      <c r="B141" s="23"/>
      <c r="C141" s="62" t="s">
        <v>163</v>
      </c>
      <c r="D141" s="65">
        <v>8</v>
      </c>
      <c r="E141" s="65">
        <v>21</v>
      </c>
      <c r="F141" s="65">
        <v>21</v>
      </c>
      <c r="G141" s="65">
        <v>1</v>
      </c>
      <c r="H141" s="67">
        <v>21</v>
      </c>
      <c r="I141" s="67">
        <v>1</v>
      </c>
      <c r="J141" s="67">
        <v>51</v>
      </c>
      <c r="K141" s="65">
        <v>11</v>
      </c>
      <c r="L141" s="65">
        <v>42</v>
      </c>
      <c r="M141" s="65">
        <v>19</v>
      </c>
      <c r="N141" s="65">
        <v>5</v>
      </c>
      <c r="O141" s="67">
        <v>42</v>
      </c>
      <c r="P141" s="67">
        <v>5</v>
      </c>
      <c r="Q141" s="67">
        <v>77</v>
      </c>
      <c r="R141" s="23"/>
      <c r="S141" s="23"/>
      <c r="T141" s="23"/>
    </row>
    <row r="142" spans="1:20" x14ac:dyDescent="0.3">
      <c r="A142" s="149"/>
      <c r="B142" s="23"/>
      <c r="C142" s="62" t="s">
        <v>165</v>
      </c>
      <c r="D142" s="65">
        <v>45</v>
      </c>
      <c r="E142" s="65">
        <v>9</v>
      </c>
      <c r="F142" s="65">
        <v>36</v>
      </c>
      <c r="G142" s="65">
        <v>26</v>
      </c>
      <c r="H142" s="67">
        <v>45</v>
      </c>
      <c r="I142" s="67">
        <v>9</v>
      </c>
      <c r="J142" s="67">
        <v>116</v>
      </c>
      <c r="K142" s="65">
        <v>17</v>
      </c>
      <c r="L142" s="65">
        <v>17</v>
      </c>
      <c r="M142" s="65">
        <v>7</v>
      </c>
      <c r="N142" s="65">
        <v>17</v>
      </c>
      <c r="O142" s="67">
        <v>17</v>
      </c>
      <c r="P142" s="67">
        <v>7</v>
      </c>
      <c r="Q142" s="67">
        <v>58</v>
      </c>
      <c r="R142" s="23"/>
      <c r="S142" s="23"/>
      <c r="T142" s="23"/>
    </row>
    <row r="143" spans="1:20" x14ac:dyDescent="0.3">
      <c r="A143" s="149"/>
      <c r="B143" s="23"/>
      <c r="C143" s="62" t="s">
        <v>157</v>
      </c>
      <c r="D143" s="65">
        <v>29</v>
      </c>
      <c r="E143" s="65">
        <v>11</v>
      </c>
      <c r="F143" s="65">
        <v>13</v>
      </c>
      <c r="G143" s="65">
        <v>16</v>
      </c>
      <c r="H143" s="67">
        <v>29</v>
      </c>
      <c r="I143" s="67">
        <v>11</v>
      </c>
      <c r="J143" s="67">
        <v>69</v>
      </c>
      <c r="K143" s="65">
        <v>46</v>
      </c>
      <c r="L143" s="65">
        <v>25</v>
      </c>
      <c r="M143" s="65">
        <v>34</v>
      </c>
      <c r="N143" s="65">
        <v>50</v>
      </c>
      <c r="O143" s="67">
        <v>50</v>
      </c>
      <c r="P143" s="67">
        <v>25</v>
      </c>
      <c r="Q143" s="67">
        <v>155</v>
      </c>
      <c r="R143" s="23"/>
      <c r="S143" s="23"/>
      <c r="T143" s="23"/>
    </row>
    <row r="144" spans="1:20" x14ac:dyDescent="0.3">
      <c r="A144" s="149"/>
      <c r="B144" s="23"/>
      <c r="C144" s="69" t="s">
        <v>279</v>
      </c>
      <c r="D144" s="70">
        <v>657</v>
      </c>
      <c r="E144" s="70">
        <v>848</v>
      </c>
      <c r="F144" s="70">
        <v>750</v>
      </c>
      <c r="G144" s="70">
        <v>790</v>
      </c>
      <c r="H144" s="70">
        <v>1199</v>
      </c>
      <c r="I144" s="70">
        <v>348</v>
      </c>
      <c r="J144" s="70">
        <v>3045</v>
      </c>
      <c r="K144" s="70">
        <v>785</v>
      </c>
      <c r="L144" s="70">
        <v>723</v>
      </c>
      <c r="M144" s="70">
        <v>745</v>
      </c>
      <c r="N144" s="70">
        <v>707</v>
      </c>
      <c r="O144" s="70">
        <v>1184</v>
      </c>
      <c r="P144" s="70">
        <v>320</v>
      </c>
      <c r="Q144" s="70">
        <v>2960</v>
      </c>
      <c r="R144" s="23"/>
      <c r="S144" s="23"/>
      <c r="T144" s="23"/>
    </row>
    <row r="145" spans="1:44" x14ac:dyDescent="0.3">
      <c r="A145" s="149"/>
      <c r="B145" s="23"/>
      <c r="C145" s="23"/>
      <c r="D145" s="23"/>
      <c r="E145" s="23"/>
      <c r="F145" s="23"/>
      <c r="G145" s="23"/>
      <c r="H145" s="23"/>
      <c r="I145" s="23"/>
      <c r="J145" s="23"/>
      <c r="K145" s="23"/>
      <c r="L145" s="23"/>
      <c r="M145" s="23"/>
      <c r="N145" s="23"/>
      <c r="O145" s="23"/>
      <c r="P145" s="23"/>
      <c r="Q145" s="23"/>
      <c r="R145" s="23"/>
      <c r="S145" s="23"/>
      <c r="T145" s="23"/>
    </row>
    <row r="146" spans="1:44" x14ac:dyDescent="0.3">
      <c r="A146" s="149"/>
      <c r="B146" s="23"/>
      <c r="C146" s="23"/>
      <c r="D146" s="23"/>
      <c r="E146" s="23"/>
      <c r="F146" s="23"/>
      <c r="G146" s="23"/>
      <c r="H146" s="23"/>
      <c r="I146" s="23"/>
      <c r="J146" s="23"/>
      <c r="K146" s="23"/>
      <c r="L146" s="23"/>
      <c r="M146" s="23"/>
      <c r="N146" s="23"/>
      <c r="O146" s="23"/>
      <c r="P146" s="23"/>
      <c r="Q146" s="23"/>
      <c r="R146" s="23"/>
      <c r="S146" s="23"/>
      <c r="T146" s="23"/>
    </row>
    <row r="147" spans="1:44" x14ac:dyDescent="0.3">
      <c r="A147" s="149"/>
      <c r="B147" s="23"/>
      <c r="C147" s="23"/>
      <c r="D147" s="23"/>
      <c r="E147" s="23"/>
      <c r="F147" s="23"/>
      <c r="G147" s="23"/>
      <c r="H147" s="23"/>
      <c r="I147" s="23"/>
      <c r="J147" s="23"/>
      <c r="K147" s="23"/>
      <c r="L147" s="23"/>
      <c r="M147" s="23"/>
      <c r="N147" s="23"/>
      <c r="O147" s="23"/>
      <c r="P147" s="23"/>
      <c r="Q147" s="23"/>
      <c r="R147" s="23"/>
      <c r="S147" s="23"/>
      <c r="T147" s="23"/>
    </row>
    <row r="148" spans="1:44" x14ac:dyDescent="0.3">
      <c r="A148" s="149"/>
      <c r="B148" s="23"/>
      <c r="C148" s="23"/>
      <c r="D148" s="23"/>
      <c r="E148" s="23"/>
      <c r="F148" s="23"/>
      <c r="G148" s="23"/>
      <c r="H148" s="23"/>
      <c r="I148" s="23"/>
      <c r="J148" s="23"/>
      <c r="K148" s="23"/>
      <c r="L148" s="23"/>
      <c r="M148" s="23"/>
      <c r="N148" s="23"/>
      <c r="O148" s="23"/>
      <c r="P148" s="23"/>
      <c r="Q148" s="23"/>
      <c r="R148" s="23"/>
      <c r="S148" s="23"/>
      <c r="T148" s="23"/>
    </row>
    <row r="149" spans="1:44" x14ac:dyDescent="0.3">
      <c r="A149" s="23"/>
      <c r="B149" s="23"/>
      <c r="C149" s="23"/>
      <c r="D149" s="23"/>
      <c r="E149" s="23"/>
      <c r="F149" s="23"/>
      <c r="G149" s="23"/>
      <c r="H149" s="23"/>
      <c r="I149" s="23"/>
      <c r="J149" s="23"/>
      <c r="K149" s="23"/>
      <c r="L149" s="23"/>
      <c r="M149" s="23"/>
      <c r="N149" s="23"/>
      <c r="O149" s="23"/>
      <c r="P149" s="23"/>
      <c r="Q149" s="23"/>
      <c r="R149" s="23"/>
      <c r="S149" s="23"/>
      <c r="T149" s="23"/>
    </row>
    <row r="150" spans="1:44" x14ac:dyDescent="0.3">
      <c r="A150" s="23"/>
      <c r="B150" s="23"/>
      <c r="C150" s="23"/>
      <c r="D150" s="23"/>
      <c r="E150" s="23"/>
      <c r="F150" s="23"/>
      <c r="G150" s="23"/>
      <c r="H150" s="23"/>
      <c r="I150" s="23"/>
      <c r="J150" s="23"/>
      <c r="K150" s="23"/>
      <c r="L150" s="23"/>
      <c r="M150" s="23"/>
      <c r="N150" s="23"/>
      <c r="O150" s="23"/>
      <c r="P150" s="23"/>
      <c r="Q150" s="23"/>
      <c r="R150" s="23"/>
      <c r="S150" s="23"/>
      <c r="T150" s="23"/>
    </row>
    <row r="151" spans="1:44" x14ac:dyDescent="0.3">
      <c r="A151" s="150"/>
    </row>
    <row r="152" spans="1:44" x14ac:dyDescent="0.3">
      <c r="A152" s="150"/>
      <c r="V152" s="5"/>
      <c r="W152" s="5"/>
      <c r="X152" s="5"/>
      <c r="Y152" s="5"/>
      <c r="Z152" s="5"/>
      <c r="AA152" s="5"/>
      <c r="AB152" s="5"/>
      <c r="AC152" s="5"/>
      <c r="AD152" s="5"/>
      <c r="AE152" s="5"/>
      <c r="AF152" s="5"/>
      <c r="AG152" s="5"/>
      <c r="AH152" s="5"/>
      <c r="AI152" s="5"/>
      <c r="AJ152" s="5"/>
      <c r="AK152" s="5"/>
      <c r="AL152" s="5"/>
      <c r="AM152" s="5"/>
      <c r="AN152" s="5"/>
      <c r="AO152" s="5"/>
      <c r="AP152" s="5"/>
      <c r="AQ152" s="5"/>
      <c r="AR152" s="5"/>
    </row>
    <row r="153" spans="1:44" ht="27.6" customHeight="1" x14ac:dyDescent="0.3">
      <c r="A153" s="150"/>
      <c r="V153" s="5"/>
      <c r="W153" s="5"/>
      <c r="X153" s="5"/>
      <c r="Y153" s="5"/>
      <c r="Z153" s="5"/>
      <c r="AA153" s="5"/>
      <c r="AB153" s="5"/>
      <c r="AC153" s="5"/>
      <c r="AD153" s="5"/>
      <c r="AE153" s="5"/>
      <c r="AF153" s="5"/>
      <c r="AG153" s="5"/>
      <c r="AH153" s="5"/>
      <c r="AI153" s="5"/>
      <c r="AJ153" s="5"/>
      <c r="AK153" s="5"/>
      <c r="AL153" s="5"/>
      <c r="AM153" s="5"/>
      <c r="AN153" s="5"/>
      <c r="AO153" s="5"/>
      <c r="AP153" s="5"/>
      <c r="AQ153" s="5"/>
      <c r="AR153" s="5"/>
    </row>
    <row r="154" spans="1:44" x14ac:dyDescent="0.3">
      <c r="A154" s="150"/>
    </row>
    <row r="155" spans="1:44" x14ac:dyDescent="0.3">
      <c r="A155" s="150"/>
    </row>
    <row r="187" spans="1:22" x14ac:dyDescent="0.3">
      <c r="A187" s="5"/>
      <c r="B187" s="5"/>
      <c r="C187" s="5"/>
      <c r="D187" s="5"/>
      <c r="E187" s="5"/>
      <c r="F187" s="5"/>
      <c r="G187" s="5"/>
      <c r="H187" s="5"/>
      <c r="I187" s="5"/>
      <c r="J187" s="5"/>
      <c r="K187" s="5"/>
      <c r="L187" s="5"/>
      <c r="M187" s="5"/>
      <c r="N187" s="5"/>
      <c r="O187" s="5"/>
      <c r="P187" s="5"/>
      <c r="Q187" s="5"/>
      <c r="R187" s="5"/>
      <c r="S187" s="5"/>
      <c r="T187" s="5"/>
      <c r="U187" s="5"/>
      <c r="V187" s="5"/>
    </row>
    <row r="188" spans="1:22" x14ac:dyDescent="0.3">
      <c r="A188" s="5"/>
      <c r="B188" s="5"/>
      <c r="C188" s="5"/>
      <c r="D188" s="5"/>
      <c r="E188" s="5"/>
      <c r="F188" s="5"/>
      <c r="G188" s="5"/>
      <c r="H188" s="5"/>
      <c r="I188" s="5"/>
      <c r="J188" s="5"/>
      <c r="K188" s="5"/>
      <c r="L188" s="5"/>
      <c r="M188" s="5"/>
      <c r="N188" s="5"/>
      <c r="O188" s="5"/>
      <c r="P188" s="5"/>
      <c r="Q188" s="5"/>
      <c r="R188" s="5"/>
      <c r="S188" s="5"/>
      <c r="T188" s="5"/>
      <c r="U188" s="5"/>
      <c r="V188" s="5"/>
    </row>
    <row r="189" spans="1:22" x14ac:dyDescent="0.3">
      <c r="A189" s="5"/>
      <c r="B189" s="5"/>
      <c r="C189" s="5"/>
      <c r="D189" s="5"/>
      <c r="E189" s="5"/>
      <c r="F189" s="5"/>
      <c r="G189" s="5"/>
      <c r="H189" s="5"/>
      <c r="I189" s="5"/>
      <c r="J189" s="5"/>
      <c r="K189" s="5"/>
      <c r="L189" s="5"/>
      <c r="M189" s="5"/>
      <c r="N189" s="5"/>
      <c r="O189" s="5"/>
      <c r="P189" s="5"/>
      <c r="Q189" s="5"/>
      <c r="R189" s="5"/>
      <c r="S189" s="5"/>
      <c r="T189" s="5"/>
      <c r="U189" s="5"/>
      <c r="V189" s="5"/>
    </row>
    <row r="190" spans="1:22" x14ac:dyDescent="0.3">
      <c r="A190" s="5"/>
      <c r="B190" s="5"/>
      <c r="C190" s="5"/>
      <c r="D190" s="5"/>
      <c r="E190" s="5"/>
      <c r="F190" s="5"/>
      <c r="G190" s="5"/>
      <c r="H190" s="5"/>
      <c r="I190" s="5"/>
      <c r="J190" s="5"/>
      <c r="K190" s="5"/>
      <c r="L190" s="5"/>
      <c r="M190" s="5"/>
      <c r="N190" s="5"/>
      <c r="O190" s="5"/>
      <c r="P190" s="5"/>
      <c r="Q190" s="5"/>
      <c r="R190" s="5"/>
      <c r="S190" s="5"/>
      <c r="T190" s="5"/>
      <c r="U190" s="5"/>
      <c r="V190" s="5"/>
    </row>
    <row r="191" spans="1:22" x14ac:dyDescent="0.3">
      <c r="A191" s="5"/>
      <c r="B191" s="5"/>
      <c r="C191" s="5"/>
      <c r="D191" s="5"/>
      <c r="E191" s="5"/>
      <c r="F191" s="5"/>
      <c r="G191" s="5"/>
      <c r="H191" s="5"/>
      <c r="I191" s="5"/>
      <c r="J191" s="5"/>
      <c r="K191" s="5"/>
      <c r="L191" s="5"/>
      <c r="M191" s="5"/>
      <c r="N191" s="5"/>
      <c r="O191" s="5"/>
      <c r="P191" s="5"/>
      <c r="Q191" s="5"/>
      <c r="R191" s="5"/>
      <c r="S191" s="5"/>
      <c r="T191" s="5"/>
      <c r="U191" s="5"/>
      <c r="V191" s="5"/>
    </row>
    <row r="192" spans="1:22" x14ac:dyDescent="0.3">
      <c r="A192" s="5"/>
      <c r="B192" s="5"/>
      <c r="C192" s="5"/>
      <c r="D192" s="5"/>
      <c r="E192" s="5"/>
      <c r="F192" s="5"/>
      <c r="G192" s="5"/>
      <c r="H192" s="5"/>
      <c r="I192" s="5"/>
      <c r="J192" s="5"/>
      <c r="K192" s="5"/>
      <c r="L192" s="5"/>
      <c r="M192" s="5"/>
      <c r="N192" s="5"/>
      <c r="O192" s="5"/>
      <c r="P192" s="5"/>
      <c r="Q192" s="5"/>
      <c r="R192" s="5"/>
      <c r="S192" s="5"/>
      <c r="T192" s="5"/>
      <c r="U192" s="5"/>
      <c r="V192" s="5"/>
    </row>
    <row r="193" spans="1:22" x14ac:dyDescent="0.3">
      <c r="A193" s="5"/>
      <c r="B193" s="5"/>
      <c r="C193" s="5"/>
      <c r="D193" s="5"/>
      <c r="E193" s="5"/>
      <c r="F193" s="5"/>
      <c r="G193" s="5"/>
      <c r="H193" s="5"/>
      <c r="I193" s="5"/>
      <c r="J193" s="5"/>
      <c r="K193" s="5"/>
      <c r="L193" s="5"/>
      <c r="M193" s="5"/>
      <c r="N193" s="5"/>
      <c r="O193" s="5"/>
      <c r="P193" s="5"/>
      <c r="Q193" s="5"/>
      <c r="R193" s="5"/>
      <c r="S193" s="5"/>
      <c r="T193" s="5"/>
      <c r="U193" s="5"/>
      <c r="V193" s="5"/>
    </row>
    <row r="194" spans="1:22" x14ac:dyDescent="0.3">
      <c r="A194" s="5"/>
      <c r="B194" s="5"/>
      <c r="C194" s="5"/>
      <c r="D194" s="5"/>
      <c r="E194" s="5"/>
      <c r="F194" s="5"/>
      <c r="G194" s="5"/>
      <c r="H194" s="5"/>
      <c r="I194" s="5"/>
      <c r="J194" s="5"/>
      <c r="K194" s="5"/>
      <c r="L194" s="5"/>
      <c r="M194" s="5"/>
      <c r="N194" s="5"/>
      <c r="O194" s="5"/>
      <c r="P194" s="5"/>
      <c r="Q194" s="5"/>
      <c r="R194" s="5"/>
      <c r="S194" s="5"/>
      <c r="T194" s="5"/>
      <c r="U194" s="5"/>
      <c r="V194" s="5"/>
    </row>
    <row r="195" spans="1:22" x14ac:dyDescent="0.3">
      <c r="A195" s="5"/>
      <c r="B195" s="5"/>
      <c r="C195" s="5"/>
      <c r="D195" s="5"/>
      <c r="E195" s="5"/>
      <c r="F195" s="5"/>
      <c r="G195" s="5"/>
      <c r="H195" s="5"/>
      <c r="I195" s="5"/>
      <c r="J195" s="5"/>
      <c r="K195" s="5"/>
      <c r="L195" s="5"/>
      <c r="M195" s="5"/>
      <c r="N195" s="5"/>
      <c r="O195" s="5"/>
      <c r="P195" s="5"/>
      <c r="Q195" s="5"/>
      <c r="R195" s="5"/>
      <c r="S195" s="5"/>
      <c r="T195" s="5"/>
      <c r="U195" s="5"/>
      <c r="V195" s="5"/>
    </row>
    <row r="196" spans="1:22" x14ac:dyDescent="0.3">
      <c r="A196" s="5"/>
      <c r="B196" s="5"/>
      <c r="C196" s="5"/>
      <c r="D196" s="5"/>
      <c r="E196" s="5"/>
      <c r="F196" s="5"/>
      <c r="G196" s="5"/>
      <c r="H196" s="5"/>
      <c r="I196" s="5"/>
      <c r="J196" s="5"/>
      <c r="K196" s="5"/>
      <c r="L196" s="5"/>
      <c r="M196" s="5"/>
      <c r="N196" s="5"/>
      <c r="O196" s="5"/>
      <c r="P196" s="5"/>
      <c r="Q196" s="5"/>
      <c r="R196" s="5"/>
      <c r="S196" s="5"/>
      <c r="T196" s="5"/>
      <c r="U196" s="5"/>
      <c r="V196" s="5"/>
    </row>
    <row r="197" spans="1:22" x14ac:dyDescent="0.3">
      <c r="A197" s="5"/>
      <c r="B197" s="5"/>
      <c r="C197" s="5"/>
      <c r="D197" s="5"/>
      <c r="E197" s="5"/>
      <c r="F197" s="5"/>
      <c r="G197" s="5"/>
      <c r="H197" s="5"/>
      <c r="I197" s="5"/>
      <c r="J197" s="5"/>
      <c r="K197" s="5"/>
      <c r="L197" s="5"/>
      <c r="M197" s="5"/>
      <c r="N197" s="5"/>
      <c r="O197" s="5"/>
      <c r="P197" s="5"/>
      <c r="Q197" s="5"/>
      <c r="R197" s="5"/>
      <c r="S197" s="5"/>
      <c r="T197" s="5"/>
      <c r="U197" s="5"/>
      <c r="V197" s="5"/>
    </row>
    <row r="198" spans="1:22" x14ac:dyDescent="0.3">
      <c r="A198" s="5"/>
      <c r="B198" s="5"/>
      <c r="C198" s="5"/>
      <c r="D198" s="5"/>
      <c r="E198" s="5"/>
      <c r="F198" s="5"/>
      <c r="G198" s="5"/>
      <c r="H198" s="5"/>
      <c r="I198" s="5"/>
      <c r="J198" s="5"/>
      <c r="K198" s="5"/>
      <c r="L198" s="5"/>
      <c r="M198" s="5"/>
      <c r="N198" s="5"/>
      <c r="O198" s="5"/>
      <c r="P198" s="5"/>
      <c r="Q198" s="5"/>
      <c r="R198" s="5"/>
      <c r="S198" s="5"/>
      <c r="T198" s="5"/>
      <c r="U198" s="5"/>
      <c r="V198" s="5"/>
    </row>
    <row r="199" spans="1:22" x14ac:dyDescent="0.3">
      <c r="A199" s="5"/>
      <c r="B199" s="5"/>
      <c r="C199" s="5"/>
      <c r="D199" s="5"/>
      <c r="E199" s="5"/>
      <c r="F199" s="5"/>
      <c r="G199" s="5"/>
      <c r="H199" s="5"/>
      <c r="I199" s="5"/>
      <c r="J199" s="5"/>
      <c r="K199" s="5"/>
      <c r="L199" s="5"/>
      <c r="M199" s="5"/>
      <c r="N199" s="5"/>
      <c r="O199" s="5"/>
      <c r="P199" s="5"/>
      <c r="Q199" s="5"/>
      <c r="R199" s="5"/>
      <c r="S199" s="5"/>
      <c r="T199" s="5"/>
      <c r="U199" s="5"/>
      <c r="V199" s="5"/>
    </row>
    <row r="200" spans="1:22" x14ac:dyDescent="0.3">
      <c r="A200" s="5"/>
      <c r="B200" s="5"/>
      <c r="C200" s="5"/>
      <c r="D200" s="5"/>
      <c r="E200" s="5"/>
      <c r="F200" s="5"/>
      <c r="G200" s="5"/>
      <c r="H200" s="5"/>
      <c r="I200" s="5"/>
      <c r="J200" s="5"/>
      <c r="K200" s="5"/>
      <c r="L200" s="5"/>
      <c r="M200" s="5"/>
      <c r="N200" s="5"/>
      <c r="O200" s="5"/>
      <c r="P200" s="5"/>
      <c r="Q200" s="5"/>
      <c r="R200" s="5"/>
      <c r="S200" s="5"/>
      <c r="T200" s="5"/>
      <c r="U200" s="5"/>
      <c r="V200" s="5"/>
    </row>
    <row r="201" spans="1:22" x14ac:dyDescent="0.3">
      <c r="A201" s="5"/>
      <c r="B201" s="5"/>
      <c r="C201" s="5"/>
      <c r="D201" s="5"/>
      <c r="E201" s="5"/>
      <c r="F201" s="5"/>
      <c r="G201" s="5"/>
      <c r="H201" s="5"/>
      <c r="I201" s="5"/>
      <c r="J201" s="5"/>
      <c r="K201" s="5"/>
      <c r="L201" s="5"/>
      <c r="M201" s="5"/>
      <c r="N201" s="5"/>
      <c r="O201" s="5"/>
      <c r="P201" s="5"/>
      <c r="Q201" s="5"/>
      <c r="R201" s="5"/>
      <c r="S201" s="5"/>
      <c r="T201" s="5"/>
      <c r="U201" s="5"/>
      <c r="V201" s="5"/>
    </row>
    <row r="202" spans="1:22" x14ac:dyDescent="0.3">
      <c r="A202" s="5"/>
      <c r="B202" s="5"/>
      <c r="C202" s="5"/>
      <c r="D202" s="5"/>
      <c r="E202" s="5"/>
      <c r="F202" s="5"/>
      <c r="G202" s="5"/>
      <c r="H202" s="5"/>
      <c r="I202" s="5"/>
      <c r="J202" s="5"/>
      <c r="K202" s="5"/>
      <c r="L202" s="5"/>
      <c r="M202" s="5"/>
      <c r="N202" s="5"/>
      <c r="O202" s="5"/>
      <c r="P202" s="5"/>
      <c r="Q202" s="5"/>
      <c r="R202" s="5"/>
      <c r="S202" s="5"/>
      <c r="T202" s="5"/>
      <c r="U202" s="5"/>
      <c r="V202" s="5"/>
    </row>
    <row r="203" spans="1:22" x14ac:dyDescent="0.3">
      <c r="A203" s="5"/>
      <c r="B203" s="5"/>
      <c r="C203" s="5"/>
      <c r="D203" s="5"/>
      <c r="E203" s="5"/>
      <c r="F203" s="5"/>
      <c r="G203" s="5"/>
      <c r="H203" s="5"/>
      <c r="I203" s="5"/>
      <c r="J203" s="5"/>
      <c r="K203" s="5"/>
      <c r="L203" s="5"/>
      <c r="M203" s="5"/>
      <c r="N203" s="5"/>
      <c r="O203" s="5"/>
      <c r="P203" s="5"/>
      <c r="Q203" s="5"/>
      <c r="R203" s="5"/>
      <c r="S203" s="5"/>
      <c r="T203" s="5"/>
      <c r="U203" s="5"/>
      <c r="V203" s="5"/>
    </row>
    <row r="204" spans="1:22" x14ac:dyDescent="0.3">
      <c r="A204" s="5"/>
      <c r="B204" s="5"/>
      <c r="C204" s="5"/>
      <c r="D204" s="5"/>
      <c r="E204" s="5"/>
      <c r="F204" s="5"/>
      <c r="G204" s="5"/>
      <c r="H204" s="5"/>
      <c r="I204" s="5"/>
      <c r="J204" s="5"/>
      <c r="K204" s="5"/>
      <c r="L204" s="5"/>
      <c r="M204" s="5"/>
      <c r="N204" s="5"/>
      <c r="O204" s="5"/>
      <c r="P204" s="5"/>
      <c r="Q204" s="5"/>
      <c r="R204" s="5"/>
      <c r="S204" s="5"/>
      <c r="T204" s="5"/>
      <c r="U204" s="5"/>
      <c r="V204" s="5"/>
    </row>
    <row r="205" spans="1:22" x14ac:dyDescent="0.3">
      <c r="A205" s="5"/>
      <c r="B205" s="5"/>
      <c r="C205" s="5"/>
      <c r="D205" s="5"/>
      <c r="E205" s="5"/>
      <c r="F205" s="5"/>
      <c r="G205" s="5"/>
      <c r="H205" s="5"/>
      <c r="I205" s="5"/>
      <c r="J205" s="5"/>
      <c r="K205" s="5"/>
      <c r="L205" s="5"/>
      <c r="M205" s="5"/>
      <c r="N205" s="5"/>
      <c r="O205" s="5"/>
      <c r="P205" s="5"/>
      <c r="Q205" s="5"/>
      <c r="R205" s="5"/>
      <c r="S205" s="5"/>
      <c r="T205" s="5"/>
      <c r="U205" s="5"/>
      <c r="V205" s="5"/>
    </row>
    <row r="206" spans="1:22" x14ac:dyDescent="0.3">
      <c r="A206" s="5"/>
      <c r="B206" s="5"/>
      <c r="C206" s="5"/>
      <c r="D206" s="5"/>
      <c r="E206" s="5"/>
      <c r="F206" s="5"/>
      <c r="G206" s="5"/>
      <c r="H206" s="5"/>
      <c r="I206" s="5"/>
      <c r="J206" s="5"/>
      <c r="K206" s="5"/>
      <c r="L206" s="5"/>
      <c r="M206" s="5"/>
      <c r="N206" s="5"/>
      <c r="O206" s="5"/>
      <c r="P206" s="5"/>
      <c r="Q206" s="5"/>
      <c r="R206" s="5"/>
      <c r="S206" s="5"/>
      <c r="T206" s="5"/>
      <c r="U206" s="5"/>
      <c r="V206" s="5"/>
    </row>
    <row r="207" spans="1:22" x14ac:dyDescent="0.3">
      <c r="A207" s="5"/>
      <c r="B207" s="5"/>
      <c r="C207" s="5"/>
      <c r="D207" s="5"/>
      <c r="E207" s="5"/>
      <c r="F207" s="5"/>
      <c r="G207" s="5"/>
      <c r="H207" s="5"/>
      <c r="I207" s="5"/>
      <c r="J207" s="5"/>
      <c r="K207" s="5"/>
      <c r="L207" s="5"/>
      <c r="M207" s="5"/>
      <c r="N207" s="5"/>
      <c r="O207" s="5"/>
      <c r="P207" s="5"/>
      <c r="Q207" s="5"/>
      <c r="R207" s="5"/>
      <c r="S207" s="5"/>
      <c r="T207" s="5"/>
      <c r="U207" s="5"/>
      <c r="V207" s="5"/>
    </row>
    <row r="208" spans="1:22" x14ac:dyDescent="0.3">
      <c r="A208" s="5"/>
      <c r="B208" s="5"/>
      <c r="C208" s="5"/>
      <c r="D208" s="5"/>
      <c r="E208" s="5"/>
      <c r="F208" s="5"/>
      <c r="G208" s="5"/>
      <c r="H208" s="5"/>
      <c r="I208" s="5"/>
      <c r="J208" s="5"/>
      <c r="K208" s="5"/>
      <c r="L208" s="5"/>
      <c r="M208" s="5"/>
      <c r="N208" s="5"/>
      <c r="O208" s="5"/>
      <c r="P208" s="5"/>
      <c r="Q208" s="5"/>
      <c r="R208" s="5"/>
      <c r="S208" s="5"/>
      <c r="T208" s="5"/>
      <c r="U208" s="5"/>
      <c r="V208" s="5"/>
    </row>
    <row r="209" spans="1:22" x14ac:dyDescent="0.3">
      <c r="A209" s="5"/>
      <c r="B209" s="5"/>
      <c r="C209" s="5"/>
      <c r="D209" s="5"/>
      <c r="E209" s="5"/>
      <c r="F209" s="5"/>
      <c r="G209" s="5"/>
      <c r="H209" s="5"/>
      <c r="I209" s="5"/>
      <c r="J209" s="5"/>
      <c r="K209" s="5"/>
      <c r="L209" s="5"/>
      <c r="M209" s="5"/>
      <c r="N209" s="5"/>
      <c r="O209" s="5"/>
      <c r="P209" s="5"/>
      <c r="Q209" s="5"/>
      <c r="R209" s="5"/>
      <c r="S209" s="5"/>
      <c r="T209" s="5"/>
      <c r="U209" s="5"/>
      <c r="V209" s="5"/>
    </row>
    <row r="210" spans="1:22" x14ac:dyDescent="0.3">
      <c r="A210" s="5"/>
      <c r="B210" s="5"/>
      <c r="C210" s="5"/>
      <c r="D210" s="5"/>
      <c r="E210" s="5"/>
      <c r="F210" s="5"/>
      <c r="G210" s="5"/>
      <c r="H210" s="5"/>
      <c r="I210" s="5"/>
      <c r="J210" s="5"/>
      <c r="K210" s="5"/>
      <c r="L210" s="5"/>
      <c r="M210" s="5"/>
      <c r="N210" s="5"/>
      <c r="O210" s="5"/>
      <c r="P210" s="5"/>
      <c r="Q210" s="5"/>
      <c r="R210" s="5"/>
      <c r="S210" s="5"/>
      <c r="T210" s="5"/>
      <c r="U210" s="5"/>
      <c r="V210" s="5"/>
    </row>
    <row r="211" spans="1:22" x14ac:dyDescent="0.3">
      <c r="A211" s="5"/>
      <c r="B211" s="5"/>
      <c r="C211" s="5"/>
      <c r="D211" s="5"/>
      <c r="E211" s="5"/>
      <c r="F211" s="5"/>
      <c r="G211" s="5"/>
      <c r="H211" s="5"/>
      <c r="I211" s="5"/>
      <c r="J211" s="5"/>
      <c r="K211" s="5"/>
      <c r="L211" s="5"/>
      <c r="M211" s="5"/>
      <c r="N211" s="5"/>
      <c r="O211" s="5"/>
      <c r="P211" s="5"/>
      <c r="Q211" s="5"/>
      <c r="R211" s="5"/>
      <c r="S211" s="5"/>
      <c r="T211" s="5"/>
      <c r="U211" s="5"/>
      <c r="V211" s="5"/>
    </row>
    <row r="212" spans="1:22" x14ac:dyDescent="0.3">
      <c r="A212" s="5"/>
      <c r="B212" s="5"/>
      <c r="C212" s="5"/>
      <c r="D212" s="5"/>
      <c r="E212" s="5"/>
      <c r="F212" s="5"/>
      <c r="G212" s="5"/>
      <c r="H212" s="5"/>
      <c r="I212" s="5"/>
      <c r="J212" s="5"/>
      <c r="K212" s="5"/>
      <c r="L212" s="5"/>
      <c r="M212" s="5"/>
      <c r="N212" s="5"/>
      <c r="O212" s="5"/>
      <c r="P212" s="5"/>
      <c r="Q212" s="5"/>
      <c r="R212" s="5"/>
      <c r="S212" s="5"/>
      <c r="T212" s="5"/>
      <c r="U212" s="5"/>
      <c r="V212" s="5"/>
    </row>
    <row r="213" spans="1:22" x14ac:dyDescent="0.3">
      <c r="A213" s="5"/>
      <c r="B213" s="5"/>
      <c r="C213" s="5"/>
      <c r="D213" s="5"/>
      <c r="E213" s="5"/>
      <c r="F213" s="5"/>
      <c r="G213" s="5"/>
      <c r="H213" s="5"/>
      <c r="I213" s="5"/>
      <c r="J213" s="5"/>
      <c r="K213" s="5"/>
      <c r="L213" s="5"/>
      <c r="M213" s="5"/>
      <c r="N213" s="5"/>
      <c r="O213" s="5"/>
      <c r="P213" s="5"/>
      <c r="Q213" s="5"/>
      <c r="R213" s="5"/>
      <c r="S213" s="5"/>
      <c r="T213" s="5"/>
      <c r="U213" s="5"/>
      <c r="V213" s="5"/>
    </row>
    <row r="214" spans="1:22" x14ac:dyDescent="0.3">
      <c r="A214" s="5"/>
      <c r="B214" s="5"/>
      <c r="C214" s="5"/>
      <c r="D214" s="5"/>
      <c r="E214" s="5"/>
      <c r="F214" s="5"/>
      <c r="G214" s="5"/>
      <c r="H214" s="5"/>
      <c r="I214" s="5"/>
      <c r="J214" s="5"/>
      <c r="K214" s="5"/>
      <c r="L214" s="5"/>
      <c r="M214" s="5"/>
      <c r="N214" s="5"/>
      <c r="O214" s="5"/>
      <c r="P214" s="5"/>
      <c r="Q214" s="5"/>
      <c r="R214" s="5"/>
      <c r="S214" s="5"/>
      <c r="T214" s="5"/>
      <c r="U214" s="5"/>
      <c r="V214" s="5"/>
    </row>
    <row r="215" spans="1:22" x14ac:dyDescent="0.3">
      <c r="A215" s="5"/>
      <c r="B215" s="5"/>
      <c r="C215" s="5"/>
      <c r="D215" s="5"/>
      <c r="E215" s="5"/>
      <c r="F215" s="5"/>
      <c r="G215" s="5"/>
      <c r="H215" s="5"/>
      <c r="I215" s="5"/>
      <c r="J215" s="5"/>
      <c r="K215" s="5"/>
      <c r="L215" s="5"/>
      <c r="M215" s="5"/>
      <c r="N215" s="5"/>
      <c r="O215" s="5"/>
      <c r="P215" s="5"/>
      <c r="Q215" s="5"/>
      <c r="R215" s="5"/>
      <c r="S215" s="5"/>
      <c r="T215" s="5"/>
      <c r="U215" s="5"/>
      <c r="V215" s="5"/>
    </row>
    <row r="216" spans="1:22" x14ac:dyDescent="0.3">
      <c r="A216" s="5"/>
      <c r="B216" s="5"/>
      <c r="C216" s="5"/>
      <c r="D216" s="5"/>
      <c r="E216" s="5"/>
      <c r="F216" s="5"/>
      <c r="G216" s="5"/>
      <c r="H216" s="5"/>
      <c r="I216" s="5"/>
      <c r="J216" s="5"/>
      <c r="K216" s="5"/>
      <c r="L216" s="5"/>
      <c r="M216" s="5"/>
      <c r="N216" s="5"/>
      <c r="O216" s="5"/>
      <c r="P216" s="5"/>
      <c r="Q216" s="5"/>
      <c r="R216" s="5"/>
      <c r="S216" s="5"/>
      <c r="T216" s="5"/>
      <c r="U216" s="5"/>
      <c r="V216" s="5"/>
    </row>
    <row r="217" spans="1:22" x14ac:dyDescent="0.3">
      <c r="A217" s="5"/>
      <c r="B217" s="5"/>
      <c r="C217" s="5"/>
      <c r="D217" s="5"/>
      <c r="E217" s="5"/>
      <c r="F217" s="5"/>
      <c r="G217" s="5"/>
      <c r="H217" s="5"/>
      <c r="I217" s="5"/>
      <c r="J217" s="5"/>
      <c r="K217" s="5"/>
      <c r="L217" s="5"/>
      <c r="M217" s="5"/>
      <c r="N217" s="5"/>
      <c r="O217" s="5"/>
      <c r="P217" s="5"/>
      <c r="Q217" s="5"/>
      <c r="R217" s="5"/>
      <c r="S217" s="5"/>
      <c r="T217" s="5"/>
    </row>
    <row r="218" spans="1:22" x14ac:dyDescent="0.3">
      <c r="A218" s="5"/>
      <c r="B218" s="5"/>
      <c r="C218" s="5"/>
      <c r="D218" s="5"/>
      <c r="E218" s="5"/>
      <c r="F218" s="5"/>
      <c r="G218" s="5"/>
      <c r="H218" s="5"/>
      <c r="I218" s="5"/>
      <c r="J218" s="5"/>
      <c r="K218" s="5"/>
      <c r="L218" s="5"/>
      <c r="M218" s="5"/>
      <c r="N218" s="5"/>
      <c r="O218" s="5"/>
      <c r="P218" s="5"/>
      <c r="Q218" s="5"/>
      <c r="R218" s="5"/>
      <c r="S218" s="5"/>
      <c r="T218" s="5"/>
    </row>
    <row r="219" spans="1:22" x14ac:dyDescent="0.3">
      <c r="A219" s="5"/>
      <c r="B219" s="5"/>
      <c r="C219" s="5"/>
      <c r="D219" s="5"/>
      <c r="E219" s="5"/>
      <c r="F219" s="5"/>
      <c r="G219" s="5"/>
      <c r="H219" s="5"/>
      <c r="I219" s="5"/>
      <c r="J219" s="5"/>
      <c r="K219" s="5"/>
      <c r="L219" s="5"/>
      <c r="M219" s="5"/>
      <c r="N219" s="5"/>
      <c r="O219" s="5"/>
      <c r="P219" s="5"/>
      <c r="Q219" s="5"/>
      <c r="R219" s="5"/>
      <c r="S219" s="5"/>
      <c r="T219" s="5"/>
    </row>
    <row r="220" spans="1:22" x14ac:dyDescent="0.3">
      <c r="A220" s="5"/>
      <c r="B220" s="5"/>
      <c r="C220" s="5"/>
      <c r="D220" s="5"/>
      <c r="E220" s="5"/>
      <c r="F220" s="5"/>
      <c r="G220" s="5"/>
      <c r="H220" s="5"/>
      <c r="I220" s="5"/>
      <c r="J220" s="5"/>
      <c r="K220" s="5"/>
      <c r="L220" s="5"/>
      <c r="M220" s="5"/>
      <c r="N220" s="5"/>
      <c r="O220" s="5"/>
      <c r="P220" s="5"/>
      <c r="Q220" s="5"/>
      <c r="R220" s="5"/>
      <c r="S220" s="5"/>
      <c r="T220" s="5"/>
    </row>
    <row r="221" spans="1:22" x14ac:dyDescent="0.3">
      <c r="A221" s="5"/>
      <c r="B221" s="5"/>
      <c r="C221" s="5"/>
      <c r="D221" s="5"/>
      <c r="E221" s="5"/>
      <c r="F221" s="5"/>
      <c r="G221" s="5"/>
      <c r="H221" s="5"/>
      <c r="I221" s="5"/>
      <c r="J221" s="5"/>
      <c r="K221" s="5"/>
      <c r="L221" s="5"/>
      <c r="M221" s="5"/>
      <c r="N221" s="5"/>
      <c r="O221" s="5"/>
      <c r="P221" s="5"/>
      <c r="Q221" s="5"/>
      <c r="R221" s="5"/>
      <c r="S221" s="5"/>
      <c r="T221" s="5"/>
    </row>
    <row r="222" spans="1:22" x14ac:dyDescent="0.3">
      <c r="A222" s="5"/>
      <c r="B222" s="5"/>
      <c r="C222" s="5"/>
      <c r="D222" s="5"/>
      <c r="E222" s="5"/>
      <c r="F222" s="5"/>
      <c r="G222" s="5"/>
      <c r="H222" s="5"/>
      <c r="I222" s="5"/>
      <c r="J222" s="5"/>
      <c r="K222" s="5"/>
      <c r="L222" s="5"/>
      <c r="M222" s="5"/>
      <c r="N222" s="5"/>
      <c r="O222" s="5"/>
      <c r="P222" s="5"/>
      <c r="Q222" s="5"/>
      <c r="R222" s="5"/>
      <c r="S222" s="5"/>
      <c r="T222" s="5"/>
    </row>
    <row r="223" spans="1:22" x14ac:dyDescent="0.3">
      <c r="A223" s="5"/>
      <c r="B223" s="5"/>
      <c r="C223" s="5"/>
      <c r="D223" s="5"/>
      <c r="E223" s="5"/>
      <c r="F223" s="5"/>
      <c r="G223" s="5"/>
      <c r="H223" s="5"/>
      <c r="I223" s="5"/>
      <c r="J223" s="5"/>
      <c r="K223" s="5"/>
      <c r="L223" s="5"/>
      <c r="M223" s="5"/>
      <c r="N223" s="5"/>
      <c r="O223" s="5"/>
      <c r="P223" s="5"/>
      <c r="Q223" s="5"/>
      <c r="R223" s="5"/>
      <c r="S223" s="5"/>
      <c r="T223" s="5"/>
    </row>
    <row r="224" spans="1:22" x14ac:dyDescent="0.3">
      <c r="A224" s="5"/>
      <c r="B224" s="5"/>
      <c r="C224" s="5"/>
      <c r="D224" s="5"/>
      <c r="E224" s="5"/>
      <c r="F224" s="5"/>
      <c r="G224" s="5"/>
      <c r="H224" s="5"/>
      <c r="I224" s="5"/>
      <c r="J224" s="5"/>
      <c r="K224" s="5"/>
      <c r="L224" s="5"/>
      <c r="M224" s="5"/>
      <c r="N224" s="5"/>
      <c r="O224" s="5"/>
      <c r="P224" s="5"/>
      <c r="Q224" s="5"/>
      <c r="R224" s="5"/>
      <c r="S224" s="5"/>
      <c r="T224" s="5"/>
    </row>
    <row r="225" spans="1:20" x14ac:dyDescent="0.3">
      <c r="A225" s="5"/>
      <c r="B225" s="5"/>
      <c r="C225" s="5"/>
      <c r="D225" s="5"/>
      <c r="E225" s="5"/>
      <c r="F225" s="5"/>
      <c r="G225" s="5"/>
      <c r="H225" s="5"/>
      <c r="I225" s="5"/>
      <c r="J225" s="5"/>
      <c r="K225" s="5"/>
      <c r="L225" s="5"/>
      <c r="M225" s="5"/>
      <c r="N225" s="5"/>
      <c r="O225" s="5"/>
      <c r="P225" s="5"/>
      <c r="Q225" s="5"/>
      <c r="R225" s="5"/>
      <c r="S225" s="5"/>
      <c r="T225" s="5"/>
    </row>
    <row r="226" spans="1:20" x14ac:dyDescent="0.3">
      <c r="A226" s="5"/>
      <c r="B226" s="5"/>
      <c r="C226" s="5"/>
      <c r="D226" s="5"/>
      <c r="E226" s="5"/>
      <c r="F226" s="5"/>
      <c r="G226" s="5"/>
      <c r="H226" s="5"/>
      <c r="I226" s="5"/>
      <c r="J226" s="5"/>
      <c r="K226" s="5"/>
      <c r="L226" s="5"/>
      <c r="M226" s="5"/>
      <c r="N226" s="5"/>
      <c r="O226" s="5"/>
      <c r="P226" s="5"/>
      <c r="Q226" s="5"/>
      <c r="R226" s="5"/>
      <c r="S226" s="5"/>
      <c r="T226" s="5"/>
    </row>
    <row r="227" spans="1:20" x14ac:dyDescent="0.3">
      <c r="A227" s="5"/>
      <c r="B227" s="5"/>
      <c r="C227" s="5"/>
      <c r="D227" s="5"/>
      <c r="E227" s="5"/>
      <c r="F227" s="5"/>
      <c r="G227" s="5"/>
      <c r="H227" s="5"/>
      <c r="I227" s="5"/>
      <c r="J227" s="5"/>
      <c r="K227" s="5"/>
      <c r="L227" s="5"/>
      <c r="M227" s="5"/>
      <c r="N227" s="5"/>
      <c r="O227" s="5"/>
      <c r="P227" s="5"/>
      <c r="Q227" s="5"/>
      <c r="R227" s="5"/>
      <c r="S227" s="5"/>
      <c r="T227" s="5"/>
    </row>
    <row r="228" spans="1:20" x14ac:dyDescent="0.3">
      <c r="A228" s="5"/>
      <c r="B228" s="5"/>
      <c r="C228" s="5"/>
      <c r="D228" s="5"/>
      <c r="E228" s="5"/>
      <c r="F228" s="5"/>
      <c r="G228" s="5"/>
      <c r="H228" s="5"/>
      <c r="I228" s="5"/>
      <c r="J228" s="5"/>
      <c r="K228" s="5"/>
      <c r="L228" s="5"/>
      <c r="M228" s="5"/>
      <c r="N228" s="5"/>
      <c r="O228" s="5"/>
      <c r="P228" s="5"/>
      <c r="Q228" s="5"/>
      <c r="R228" s="5"/>
      <c r="S228" s="5"/>
      <c r="T228" s="5"/>
    </row>
    <row r="230" spans="1:20" x14ac:dyDescent="0.3">
      <c r="B230" s="32"/>
    </row>
    <row r="231" spans="1:20" x14ac:dyDescent="0.3">
      <c r="B231" s="32"/>
    </row>
    <row r="232" spans="1:20" x14ac:dyDescent="0.3">
      <c r="B232" s="32"/>
    </row>
    <row r="233" spans="1:20" x14ac:dyDescent="0.3">
      <c r="B233" s="32"/>
    </row>
    <row r="234" spans="1:20" x14ac:dyDescent="0.3">
      <c r="B234" s="32"/>
    </row>
  </sheetData>
  <sheetProtection sheet="1" objects="1" scenarios="1" sort="0" autoFilter="0" pivotTables="0"/>
  <mergeCells count="24">
    <mergeCell ref="A111:A112"/>
    <mergeCell ref="A151:A155"/>
    <mergeCell ref="M103:N103"/>
    <mergeCell ref="C103:C105"/>
    <mergeCell ref="D103:K103"/>
    <mergeCell ref="D104:G104"/>
    <mergeCell ref="H104:K104"/>
    <mergeCell ref="A113:A148"/>
    <mergeCell ref="A61:A62"/>
    <mergeCell ref="A101:T101"/>
    <mergeCell ref="M53:N53"/>
    <mergeCell ref="C53:C55"/>
    <mergeCell ref="D53:K53"/>
    <mergeCell ref="D54:G54"/>
    <mergeCell ref="H54:K54"/>
    <mergeCell ref="A63:A98"/>
    <mergeCell ref="A1:T1"/>
    <mergeCell ref="A51:T51"/>
    <mergeCell ref="D3:K3"/>
    <mergeCell ref="D4:G4"/>
    <mergeCell ref="H4:K4"/>
    <mergeCell ref="M3:N3"/>
    <mergeCell ref="A11:A12"/>
    <mergeCell ref="A13:A47"/>
  </mergeCells>
  <pageMargins left="0.7" right="0.7" top="0.75" bottom="0.75" header="0.3" footer="0.3"/>
  <pageSetup paperSize="9" orientation="portrait" horizontalDpi="300" r:id="rId4"/>
  <drawing r:id="rId5"/>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B101"/>
  <sheetViews>
    <sheetView zoomScale="85" zoomScaleNormal="85" workbookViewId="0">
      <selection activeCell="AJ27" sqref="AJ27"/>
    </sheetView>
  </sheetViews>
  <sheetFormatPr defaultRowHeight="14.4" x14ac:dyDescent="0.3"/>
  <sheetData>
    <row r="1" spans="1:28" x14ac:dyDescent="0.3">
      <c r="A1" s="153" t="s">
        <v>0</v>
      </c>
      <c r="B1" s="153"/>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row>
    <row r="2" spans="1:28" x14ac:dyDescent="0.3">
      <c r="A2" s="153"/>
      <c r="B2" s="153"/>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row>
    <row r="3" spans="1:28" x14ac:dyDescent="0.3">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row>
    <row r="4" spans="1:28" x14ac:dyDescent="0.3">
      <c r="A4" s="156"/>
      <c r="B4" s="156"/>
      <c r="C4" s="156"/>
      <c r="D4" s="156"/>
      <c r="E4" s="156"/>
      <c r="F4" s="156"/>
      <c r="G4" s="156"/>
      <c r="H4" s="156"/>
      <c r="I4" s="156"/>
      <c r="J4" s="156"/>
      <c r="K4" s="156"/>
      <c r="L4" s="156"/>
      <c r="M4" s="156"/>
      <c r="N4" s="156"/>
      <c r="O4" s="156"/>
      <c r="P4" s="156"/>
      <c r="Q4" s="156"/>
      <c r="R4" s="156"/>
      <c r="S4" s="156"/>
      <c r="T4" s="156"/>
      <c r="U4" s="156"/>
      <c r="V4" s="156"/>
      <c r="W4" s="156"/>
      <c r="X4" s="156"/>
      <c r="Y4" s="156"/>
      <c r="Z4" s="156"/>
      <c r="AA4" s="156"/>
      <c r="AB4" s="156"/>
    </row>
    <row r="5" spans="1:28" x14ac:dyDescent="0.3">
      <c r="A5" s="156"/>
      <c r="B5" s="156"/>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row>
    <row r="6" spans="1:28" x14ac:dyDescent="0.3">
      <c r="A6" s="156"/>
      <c r="B6" s="156"/>
      <c r="C6" s="156"/>
      <c r="D6" s="156"/>
      <c r="E6" s="156"/>
      <c r="F6" s="156"/>
      <c r="G6" s="156"/>
      <c r="H6" s="156"/>
      <c r="I6" s="156"/>
      <c r="J6" s="156"/>
      <c r="K6" s="156"/>
      <c r="L6" s="156"/>
      <c r="M6" s="156"/>
      <c r="N6" s="156"/>
      <c r="O6" s="156"/>
      <c r="P6" s="156"/>
      <c r="Q6" s="156"/>
      <c r="R6" s="156"/>
      <c r="S6" s="156"/>
      <c r="T6" s="156"/>
      <c r="U6" s="156"/>
      <c r="V6" s="156"/>
      <c r="W6" s="156"/>
      <c r="X6" s="156"/>
      <c r="Y6" s="156"/>
      <c r="Z6" s="156"/>
      <c r="AA6" s="156"/>
      <c r="AB6" s="156"/>
    </row>
    <row r="7" spans="1:28" x14ac:dyDescent="0.3">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row>
    <row r="8" spans="1:28" x14ac:dyDescent="0.3">
      <c r="A8" s="156"/>
      <c r="B8" s="156"/>
      <c r="C8" s="156"/>
      <c r="D8" s="156"/>
      <c r="E8" s="156"/>
      <c r="F8" s="156"/>
      <c r="G8" s="156"/>
      <c r="H8" s="156"/>
      <c r="I8" s="156"/>
      <c r="J8" s="156"/>
      <c r="K8" s="156"/>
      <c r="L8" s="156"/>
      <c r="M8" s="156"/>
      <c r="N8" s="156"/>
      <c r="O8" s="156"/>
      <c r="P8" s="156"/>
      <c r="Q8" s="156"/>
      <c r="R8" s="156"/>
      <c r="S8" s="156"/>
      <c r="T8" s="156"/>
      <c r="U8" s="156"/>
      <c r="V8" s="156"/>
      <c r="W8" s="156"/>
      <c r="X8" s="156"/>
      <c r="Y8" s="156"/>
      <c r="Z8" s="156"/>
      <c r="AA8" s="156"/>
      <c r="AB8" s="156"/>
    </row>
    <row r="9" spans="1:28" x14ac:dyDescent="0.3">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row>
    <row r="10" spans="1:28" x14ac:dyDescent="0.3">
      <c r="A10" s="156"/>
      <c r="B10" s="156"/>
      <c r="C10" s="156"/>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6"/>
    </row>
    <row r="11" spans="1:28" x14ac:dyDescent="0.3">
      <c r="A11" s="156"/>
      <c r="B11" s="156"/>
      <c r="C11" s="156"/>
      <c r="D11" s="156"/>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row>
    <row r="12" spans="1:28" x14ac:dyDescent="0.3">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row>
    <row r="13" spans="1:28" x14ac:dyDescent="0.3">
      <c r="A13" s="156"/>
      <c r="B13" s="156"/>
      <c r="C13" s="156"/>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row>
    <row r="14" spans="1:28" x14ac:dyDescent="0.3">
      <c r="A14" s="156"/>
      <c r="B14" s="156"/>
      <c r="C14" s="156"/>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56"/>
      <c r="AB14" s="156"/>
    </row>
    <row r="15" spans="1:28" x14ac:dyDescent="0.3">
      <c r="A15" s="156"/>
      <c r="B15" s="156"/>
      <c r="C15" s="156"/>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row>
    <row r="16" spans="1:28" x14ac:dyDescent="0.3">
      <c r="A16" s="156"/>
      <c r="B16" s="156"/>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row>
    <row r="17" spans="1:28" x14ac:dyDescent="0.3">
      <c r="A17" s="156"/>
      <c r="B17" s="156"/>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row>
    <row r="18" spans="1:28" x14ac:dyDescent="0.3">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row>
    <row r="19" spans="1:28" x14ac:dyDescent="0.3">
      <c r="A19" s="156"/>
      <c r="B19" s="156"/>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row>
    <row r="20" spans="1:28" x14ac:dyDescent="0.3">
      <c r="A20" s="156"/>
      <c r="B20" s="156"/>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row>
    <row r="21" spans="1:28" x14ac:dyDescent="0.3">
      <c r="A21" s="156"/>
      <c r="B21" s="156"/>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row>
    <row r="22" spans="1:28" x14ac:dyDescent="0.3">
      <c r="A22" s="156"/>
      <c r="B22" s="156"/>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6"/>
    </row>
    <row r="23" spans="1:28" x14ac:dyDescent="0.3">
      <c r="A23" s="156"/>
      <c r="B23" s="156"/>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row>
    <row r="24" spans="1:28" x14ac:dyDescent="0.3">
      <c r="A24" s="156"/>
      <c r="B24" s="156"/>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6"/>
    </row>
    <row r="25" spans="1:28" x14ac:dyDescent="0.3">
      <c r="A25" s="156"/>
      <c r="B25" s="156"/>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row>
    <row r="26" spans="1:28" x14ac:dyDescent="0.3">
      <c r="A26" s="156"/>
      <c r="B26" s="156"/>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6"/>
    </row>
    <row r="27" spans="1:28" x14ac:dyDescent="0.3">
      <c r="A27" s="156"/>
      <c r="B27" s="156"/>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row>
    <row r="28" spans="1:28" x14ac:dyDescent="0.3">
      <c r="A28" s="156"/>
      <c r="B28" s="156"/>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row>
    <row r="29" spans="1:28" x14ac:dyDescent="0.3">
      <c r="A29" s="156"/>
      <c r="B29" s="156"/>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row>
    <row r="30" spans="1:28" x14ac:dyDescent="0.3">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row>
    <row r="31" spans="1:28" x14ac:dyDescent="0.3">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row>
    <row r="32" spans="1:28" x14ac:dyDescent="0.3">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row>
    <row r="33" spans="1:28" x14ac:dyDescent="0.3">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row>
    <row r="34" spans="1:28" x14ac:dyDescent="0.3">
      <c r="A34" s="154" t="s">
        <v>324</v>
      </c>
      <c r="B34" s="154"/>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row>
    <row r="35" spans="1:28" x14ac:dyDescent="0.3">
      <c r="A35" s="154"/>
      <c r="B35" s="154"/>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row>
    <row r="36" spans="1:28" x14ac:dyDescent="0.3">
      <c r="A36" s="156"/>
      <c r="B36" s="156"/>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row>
    <row r="37" spans="1:28" x14ac:dyDescent="0.3">
      <c r="A37" s="156"/>
      <c r="B37" s="156"/>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6"/>
    </row>
    <row r="38" spans="1:28" x14ac:dyDescent="0.3">
      <c r="A38" s="156"/>
      <c r="B38" s="156"/>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row>
    <row r="39" spans="1:28" x14ac:dyDescent="0.3">
      <c r="A39" s="156"/>
      <c r="B39" s="156"/>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6"/>
    </row>
    <row r="40" spans="1:28" x14ac:dyDescent="0.3">
      <c r="A40" s="156"/>
      <c r="B40" s="156"/>
      <c r="C40" s="156"/>
      <c r="D40" s="156"/>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row>
    <row r="41" spans="1:28" x14ac:dyDescent="0.3">
      <c r="A41" s="156"/>
      <c r="B41" s="156"/>
      <c r="C41" s="156"/>
      <c r="D41" s="156"/>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row>
    <row r="42" spans="1:28" x14ac:dyDescent="0.3">
      <c r="A42" s="156"/>
      <c r="B42" s="156"/>
      <c r="C42" s="156"/>
      <c r="D42" s="156"/>
      <c r="E42" s="156"/>
      <c r="F42" s="156"/>
      <c r="G42" s="156"/>
      <c r="H42" s="156"/>
      <c r="I42" s="156"/>
      <c r="J42" s="156"/>
      <c r="K42" s="156"/>
      <c r="L42" s="156"/>
      <c r="M42" s="156"/>
      <c r="N42" s="156"/>
      <c r="O42" s="156"/>
      <c r="P42" s="156"/>
      <c r="Q42" s="156"/>
      <c r="R42" s="156"/>
      <c r="S42" s="156"/>
      <c r="T42" s="156"/>
      <c r="U42" s="156"/>
      <c r="V42" s="156"/>
      <c r="W42" s="156"/>
      <c r="X42" s="156"/>
      <c r="Y42" s="156"/>
      <c r="Z42" s="156"/>
      <c r="AA42" s="156"/>
      <c r="AB42" s="156"/>
    </row>
    <row r="43" spans="1:28" x14ac:dyDescent="0.3">
      <c r="A43" s="156"/>
      <c r="B43" s="156"/>
      <c r="C43" s="156"/>
      <c r="D43" s="156"/>
      <c r="E43" s="156"/>
      <c r="F43" s="156"/>
      <c r="G43" s="156"/>
      <c r="H43" s="156"/>
      <c r="I43" s="156"/>
      <c r="J43" s="156"/>
      <c r="K43" s="156"/>
      <c r="L43" s="156"/>
      <c r="M43" s="156"/>
      <c r="N43" s="156"/>
      <c r="O43" s="156"/>
      <c r="P43" s="156"/>
      <c r="Q43" s="156"/>
      <c r="R43" s="156"/>
      <c r="S43" s="156"/>
      <c r="T43" s="156"/>
      <c r="U43" s="156"/>
      <c r="V43" s="156"/>
      <c r="W43" s="156"/>
      <c r="X43" s="156"/>
      <c r="Y43" s="156"/>
      <c r="Z43" s="156"/>
      <c r="AA43" s="156"/>
      <c r="AB43" s="156"/>
    </row>
    <row r="44" spans="1:28" x14ac:dyDescent="0.3">
      <c r="A44" s="156"/>
      <c r="B44" s="156"/>
      <c r="C44" s="156"/>
      <c r="D44" s="156"/>
      <c r="E44" s="156"/>
      <c r="F44" s="156"/>
      <c r="G44" s="156"/>
      <c r="H44" s="156"/>
      <c r="I44" s="156"/>
      <c r="J44" s="156"/>
      <c r="K44" s="156"/>
      <c r="L44" s="156"/>
      <c r="M44" s="156"/>
      <c r="N44" s="156"/>
      <c r="O44" s="156"/>
      <c r="P44" s="156"/>
      <c r="Q44" s="156"/>
      <c r="R44" s="156"/>
      <c r="S44" s="156"/>
      <c r="T44" s="156"/>
      <c r="U44" s="156"/>
      <c r="V44" s="156"/>
      <c r="W44" s="156"/>
      <c r="X44" s="156"/>
      <c r="Y44" s="156"/>
      <c r="Z44" s="156"/>
      <c r="AA44" s="156"/>
      <c r="AB44" s="156"/>
    </row>
    <row r="45" spans="1:28" x14ac:dyDescent="0.3">
      <c r="A45" s="156"/>
      <c r="B45" s="156"/>
      <c r="C45" s="156"/>
      <c r="D45" s="156"/>
      <c r="E45" s="156"/>
      <c r="F45" s="156"/>
      <c r="G45" s="156"/>
      <c r="H45" s="156"/>
      <c r="I45" s="156"/>
      <c r="J45" s="156"/>
      <c r="K45" s="156"/>
      <c r="L45" s="156"/>
      <c r="M45" s="156"/>
      <c r="N45" s="156"/>
      <c r="O45" s="156"/>
      <c r="P45" s="156"/>
      <c r="Q45" s="156"/>
      <c r="R45" s="156"/>
      <c r="S45" s="156"/>
      <c r="T45" s="156"/>
      <c r="U45" s="156"/>
      <c r="V45" s="156"/>
      <c r="W45" s="156"/>
      <c r="X45" s="156"/>
      <c r="Y45" s="156"/>
      <c r="Z45" s="156"/>
      <c r="AA45" s="156"/>
      <c r="AB45" s="156"/>
    </row>
    <row r="46" spans="1:28" x14ac:dyDescent="0.3">
      <c r="A46" s="156"/>
      <c r="B46" s="156"/>
      <c r="C46" s="156"/>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6"/>
    </row>
    <row r="47" spans="1:28" x14ac:dyDescent="0.3">
      <c r="A47" s="156"/>
      <c r="B47" s="156"/>
      <c r="C47" s="156"/>
      <c r="D47" s="156"/>
      <c r="E47" s="156"/>
      <c r="F47" s="156"/>
      <c r="G47" s="156"/>
      <c r="H47" s="156"/>
      <c r="I47" s="156"/>
      <c r="J47" s="156"/>
      <c r="K47" s="156"/>
      <c r="L47" s="156"/>
      <c r="M47" s="156"/>
      <c r="N47" s="156"/>
      <c r="O47" s="156"/>
      <c r="P47" s="156"/>
      <c r="Q47" s="156"/>
      <c r="R47" s="156"/>
      <c r="S47" s="156"/>
      <c r="T47" s="156"/>
      <c r="U47" s="156"/>
      <c r="V47" s="156"/>
      <c r="W47" s="156"/>
      <c r="X47" s="156"/>
      <c r="Y47" s="156"/>
      <c r="Z47" s="156"/>
      <c r="AA47" s="156"/>
      <c r="AB47" s="156"/>
    </row>
    <row r="48" spans="1:28" x14ac:dyDescent="0.3">
      <c r="A48" s="156"/>
      <c r="B48" s="156"/>
      <c r="C48" s="156"/>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156"/>
      <c r="AB48" s="156"/>
    </row>
    <row r="49" spans="1:28" x14ac:dyDescent="0.3">
      <c r="A49" s="156"/>
      <c r="B49" s="156"/>
      <c r="C49" s="156"/>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156"/>
      <c r="AB49" s="156"/>
    </row>
    <row r="50" spans="1:28" x14ac:dyDescent="0.3">
      <c r="A50" s="156"/>
      <c r="B50" s="156"/>
      <c r="C50" s="156"/>
      <c r="D50" s="156"/>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6"/>
    </row>
    <row r="51" spans="1:28" x14ac:dyDescent="0.3">
      <c r="A51" s="156"/>
      <c r="B51" s="156"/>
      <c r="C51" s="156"/>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6"/>
    </row>
    <row r="52" spans="1:28" x14ac:dyDescent="0.3">
      <c r="A52" s="156"/>
      <c r="B52" s="156"/>
      <c r="C52" s="156"/>
      <c r="D52" s="156"/>
      <c r="E52" s="156"/>
      <c r="F52" s="156"/>
      <c r="G52" s="156"/>
      <c r="H52" s="156"/>
      <c r="I52" s="156"/>
      <c r="J52" s="156"/>
      <c r="K52" s="156"/>
      <c r="L52" s="156"/>
      <c r="M52" s="156"/>
      <c r="N52" s="156"/>
      <c r="O52" s="156"/>
      <c r="P52" s="156"/>
      <c r="Q52" s="156"/>
      <c r="R52" s="156"/>
      <c r="S52" s="156"/>
      <c r="T52" s="156"/>
      <c r="U52" s="156"/>
      <c r="V52" s="156"/>
      <c r="W52" s="156"/>
      <c r="X52" s="156"/>
      <c r="Y52" s="156"/>
      <c r="Z52" s="156"/>
      <c r="AA52" s="156"/>
      <c r="AB52" s="156"/>
    </row>
    <row r="53" spans="1:28" x14ac:dyDescent="0.3">
      <c r="A53" s="156"/>
      <c r="B53" s="156"/>
      <c r="C53" s="156"/>
      <c r="D53" s="156"/>
      <c r="E53" s="156"/>
      <c r="F53" s="156"/>
      <c r="G53" s="156"/>
      <c r="H53" s="156"/>
      <c r="I53" s="156"/>
      <c r="J53" s="156"/>
      <c r="K53" s="156"/>
      <c r="L53" s="156"/>
      <c r="M53" s="156"/>
      <c r="N53" s="156"/>
      <c r="O53" s="156"/>
      <c r="P53" s="156"/>
      <c r="Q53" s="156"/>
      <c r="R53" s="156"/>
      <c r="S53" s="156"/>
      <c r="T53" s="156"/>
      <c r="U53" s="156"/>
      <c r="V53" s="156"/>
      <c r="W53" s="156"/>
      <c r="X53" s="156"/>
      <c r="Y53" s="156"/>
      <c r="Z53" s="156"/>
      <c r="AA53" s="156"/>
      <c r="AB53" s="156"/>
    </row>
    <row r="54" spans="1:28" x14ac:dyDescent="0.3">
      <c r="A54" s="156"/>
      <c r="B54" s="156"/>
      <c r="C54" s="156"/>
      <c r="D54" s="156"/>
      <c r="E54" s="156"/>
      <c r="F54" s="156"/>
      <c r="G54" s="156"/>
      <c r="H54" s="156"/>
      <c r="I54" s="156"/>
      <c r="J54" s="156"/>
      <c r="K54" s="156"/>
      <c r="L54" s="156"/>
      <c r="M54" s="156"/>
      <c r="N54" s="156"/>
      <c r="O54" s="156"/>
      <c r="P54" s="156"/>
      <c r="Q54" s="156"/>
      <c r="R54" s="156"/>
      <c r="S54" s="156"/>
      <c r="T54" s="156"/>
      <c r="U54" s="156"/>
      <c r="V54" s="156"/>
      <c r="W54" s="156"/>
      <c r="X54" s="156"/>
      <c r="Y54" s="156"/>
      <c r="Z54" s="156"/>
      <c r="AA54" s="156"/>
      <c r="AB54" s="156"/>
    </row>
    <row r="55" spans="1:28" x14ac:dyDescent="0.3">
      <c r="A55" s="156"/>
      <c r="B55" s="156"/>
      <c r="C55" s="156"/>
      <c r="D55" s="156"/>
      <c r="E55" s="156"/>
      <c r="F55" s="156"/>
      <c r="G55" s="156"/>
      <c r="H55" s="156"/>
      <c r="I55" s="156"/>
      <c r="J55" s="156"/>
      <c r="K55" s="156"/>
      <c r="L55" s="156"/>
      <c r="M55" s="156"/>
      <c r="N55" s="156"/>
      <c r="O55" s="156"/>
      <c r="P55" s="156"/>
      <c r="Q55" s="156"/>
      <c r="R55" s="156"/>
      <c r="S55" s="156"/>
      <c r="T55" s="156"/>
      <c r="U55" s="156"/>
      <c r="V55" s="156"/>
      <c r="W55" s="156"/>
      <c r="X55" s="156"/>
      <c r="Y55" s="156"/>
      <c r="Z55" s="156"/>
      <c r="AA55" s="156"/>
      <c r="AB55" s="156"/>
    </row>
    <row r="56" spans="1:28" x14ac:dyDescent="0.3">
      <c r="A56" s="156"/>
      <c r="B56" s="156"/>
      <c r="C56" s="156"/>
      <c r="D56" s="156"/>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row>
    <row r="57" spans="1:28" x14ac:dyDescent="0.3">
      <c r="A57" s="156"/>
      <c r="B57" s="156"/>
      <c r="C57" s="156"/>
      <c r="D57" s="156"/>
      <c r="E57" s="156"/>
      <c r="F57" s="156"/>
      <c r="G57" s="156"/>
      <c r="H57" s="156"/>
      <c r="I57" s="156"/>
      <c r="J57" s="156"/>
      <c r="K57" s="156"/>
      <c r="L57" s="156"/>
      <c r="M57" s="156"/>
      <c r="N57" s="156"/>
      <c r="O57" s="156"/>
      <c r="P57" s="156"/>
      <c r="Q57" s="156"/>
      <c r="R57" s="156"/>
      <c r="S57" s="156"/>
      <c r="T57" s="156"/>
      <c r="U57" s="156"/>
      <c r="V57" s="156"/>
      <c r="W57" s="156"/>
      <c r="X57" s="156"/>
      <c r="Y57" s="156"/>
      <c r="Z57" s="156"/>
      <c r="AA57" s="156"/>
      <c r="AB57" s="156"/>
    </row>
    <row r="58" spans="1:28" x14ac:dyDescent="0.3">
      <c r="A58" s="156"/>
      <c r="B58" s="156"/>
      <c r="C58" s="156"/>
      <c r="D58" s="156"/>
      <c r="E58" s="156"/>
      <c r="F58" s="156"/>
      <c r="G58" s="156"/>
      <c r="H58" s="156"/>
      <c r="I58" s="156"/>
      <c r="J58" s="156"/>
      <c r="K58" s="156"/>
      <c r="L58" s="156"/>
      <c r="M58" s="156"/>
      <c r="N58" s="156"/>
      <c r="O58" s="156"/>
      <c r="P58" s="156"/>
      <c r="Q58" s="156"/>
      <c r="R58" s="156"/>
      <c r="S58" s="156"/>
      <c r="T58" s="156"/>
      <c r="U58" s="156"/>
      <c r="V58" s="156"/>
      <c r="W58" s="156"/>
      <c r="X58" s="156"/>
      <c r="Y58" s="156"/>
      <c r="Z58" s="156"/>
      <c r="AA58" s="156"/>
      <c r="AB58" s="156"/>
    </row>
    <row r="59" spans="1:28" x14ac:dyDescent="0.3">
      <c r="A59" s="156"/>
      <c r="B59" s="156"/>
      <c r="C59" s="156"/>
      <c r="D59" s="156"/>
      <c r="E59" s="156"/>
      <c r="F59" s="156"/>
      <c r="G59" s="156"/>
      <c r="H59" s="156"/>
      <c r="I59" s="156"/>
      <c r="J59" s="156"/>
      <c r="K59" s="156"/>
      <c r="L59" s="156"/>
      <c r="M59" s="156"/>
      <c r="N59" s="156"/>
      <c r="O59" s="156"/>
      <c r="P59" s="156"/>
      <c r="Q59" s="156"/>
      <c r="R59" s="156"/>
      <c r="S59" s="156"/>
      <c r="T59" s="156"/>
      <c r="U59" s="156"/>
      <c r="V59" s="156"/>
      <c r="W59" s="156"/>
      <c r="X59" s="156"/>
      <c r="Y59" s="156"/>
      <c r="Z59" s="156"/>
      <c r="AA59" s="156"/>
      <c r="AB59" s="156"/>
    </row>
    <row r="60" spans="1:28" x14ac:dyDescent="0.3">
      <c r="A60" s="156"/>
      <c r="B60" s="156"/>
      <c r="C60" s="156"/>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156"/>
      <c r="AB60" s="156"/>
    </row>
    <row r="61" spans="1:28" x14ac:dyDescent="0.3">
      <c r="A61" s="156"/>
      <c r="B61" s="156"/>
      <c r="C61" s="156"/>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156"/>
      <c r="AB61" s="156"/>
    </row>
    <row r="62" spans="1:28" x14ac:dyDescent="0.3">
      <c r="A62" s="156"/>
      <c r="B62" s="156"/>
      <c r="C62" s="156"/>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row>
    <row r="63" spans="1:28" x14ac:dyDescent="0.3">
      <c r="A63" s="156"/>
      <c r="B63" s="156"/>
      <c r="C63" s="156"/>
      <c r="D63" s="156"/>
      <c r="E63" s="156"/>
      <c r="F63" s="156"/>
      <c r="G63" s="156"/>
      <c r="H63" s="156"/>
      <c r="I63" s="156"/>
      <c r="J63" s="156"/>
      <c r="K63" s="156"/>
      <c r="L63" s="156"/>
      <c r="M63" s="156"/>
      <c r="N63" s="156"/>
      <c r="O63" s="156"/>
      <c r="P63" s="156"/>
      <c r="Q63" s="156"/>
      <c r="R63" s="156"/>
      <c r="S63" s="156"/>
      <c r="T63" s="156"/>
      <c r="U63" s="156"/>
      <c r="V63" s="156"/>
      <c r="W63" s="156"/>
      <c r="X63" s="156"/>
      <c r="Y63" s="156"/>
      <c r="Z63" s="156"/>
      <c r="AA63" s="156"/>
      <c r="AB63" s="156"/>
    </row>
    <row r="64" spans="1:28" x14ac:dyDescent="0.3">
      <c r="A64" s="156"/>
      <c r="B64" s="156"/>
      <c r="C64" s="156"/>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6"/>
      <c r="AB64" s="156"/>
    </row>
    <row r="65" spans="1:28" x14ac:dyDescent="0.3">
      <c r="A65" s="156"/>
      <c r="B65" s="156"/>
      <c r="C65" s="156"/>
      <c r="D65" s="156"/>
      <c r="E65" s="156"/>
      <c r="F65" s="156"/>
      <c r="G65" s="156"/>
      <c r="H65" s="156"/>
      <c r="I65" s="156"/>
      <c r="J65" s="156"/>
      <c r="K65" s="156"/>
      <c r="L65" s="156"/>
      <c r="M65" s="156"/>
      <c r="N65" s="156"/>
      <c r="O65" s="156"/>
      <c r="P65" s="156"/>
      <c r="Q65" s="156"/>
      <c r="R65" s="156"/>
      <c r="S65" s="156"/>
      <c r="T65" s="156"/>
      <c r="U65" s="156"/>
      <c r="V65" s="156"/>
      <c r="W65" s="156"/>
      <c r="X65" s="156"/>
      <c r="Y65" s="156"/>
      <c r="Z65" s="156"/>
      <c r="AA65" s="156"/>
      <c r="AB65" s="156"/>
    </row>
    <row r="66" spans="1:28" x14ac:dyDescent="0.3">
      <c r="A66" s="155" t="s">
        <v>311</v>
      </c>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row>
    <row r="67" spans="1:28" x14ac:dyDescent="0.3">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row>
    <row r="68" spans="1:28" x14ac:dyDescent="0.3">
      <c r="A68" s="156"/>
      <c r="B68" s="156"/>
      <c r="C68" s="156"/>
      <c r="D68" s="156"/>
      <c r="E68" s="156"/>
      <c r="F68" s="156"/>
      <c r="G68" s="156"/>
      <c r="H68" s="156"/>
      <c r="I68" s="156"/>
      <c r="J68" s="156"/>
      <c r="K68" s="156"/>
      <c r="L68" s="156"/>
      <c r="M68" s="156"/>
      <c r="N68" s="156"/>
      <c r="O68" s="156"/>
      <c r="P68" s="156"/>
      <c r="Q68" s="156"/>
      <c r="R68" s="156"/>
      <c r="S68" s="156"/>
      <c r="T68" s="156"/>
      <c r="U68" s="156"/>
      <c r="V68" s="156"/>
      <c r="W68" s="156"/>
      <c r="X68" s="156"/>
      <c r="Y68" s="156"/>
      <c r="Z68" s="156"/>
      <c r="AA68" s="156"/>
      <c r="AB68" s="156"/>
    </row>
    <row r="69" spans="1:28" x14ac:dyDescent="0.3">
      <c r="A69" s="156"/>
      <c r="B69" s="156"/>
      <c r="C69" s="156"/>
      <c r="D69" s="156"/>
      <c r="E69" s="156"/>
      <c r="F69" s="156"/>
      <c r="G69" s="156"/>
      <c r="H69" s="156"/>
      <c r="I69" s="156"/>
      <c r="J69" s="156"/>
      <c r="K69" s="156"/>
      <c r="L69" s="156"/>
      <c r="M69" s="156"/>
      <c r="N69" s="156"/>
      <c r="O69" s="156"/>
      <c r="P69" s="156"/>
      <c r="Q69" s="156"/>
      <c r="R69" s="156"/>
      <c r="S69" s="156"/>
      <c r="T69" s="156"/>
      <c r="U69" s="156"/>
      <c r="V69" s="156"/>
      <c r="W69" s="156"/>
      <c r="X69" s="156"/>
      <c r="Y69" s="156"/>
      <c r="Z69" s="156"/>
      <c r="AA69" s="156"/>
      <c r="AB69" s="156"/>
    </row>
    <row r="70" spans="1:28" x14ac:dyDescent="0.3">
      <c r="A70" s="156"/>
      <c r="B70" s="156"/>
      <c r="C70" s="156"/>
      <c r="D70" s="156"/>
      <c r="E70" s="156"/>
      <c r="F70" s="156"/>
      <c r="G70" s="156"/>
      <c r="H70" s="156"/>
      <c r="I70" s="156"/>
      <c r="J70" s="156"/>
      <c r="K70" s="156"/>
      <c r="L70" s="156"/>
      <c r="M70" s="156"/>
      <c r="N70" s="156"/>
      <c r="O70" s="156"/>
      <c r="P70" s="156"/>
      <c r="Q70" s="156"/>
      <c r="R70" s="156"/>
      <c r="S70" s="156"/>
      <c r="T70" s="156"/>
      <c r="U70" s="156"/>
      <c r="V70" s="156"/>
      <c r="W70" s="156"/>
      <c r="X70" s="156"/>
      <c r="Y70" s="156"/>
      <c r="Z70" s="156"/>
      <c r="AA70" s="156"/>
      <c r="AB70" s="156"/>
    </row>
    <row r="71" spans="1:28" x14ac:dyDescent="0.3">
      <c r="A71" s="156"/>
      <c r="B71" s="156"/>
      <c r="C71" s="156"/>
      <c r="D71" s="156"/>
      <c r="E71" s="156"/>
      <c r="F71" s="156"/>
      <c r="G71" s="156"/>
      <c r="H71" s="156"/>
      <c r="I71" s="156"/>
      <c r="J71" s="156"/>
      <c r="K71" s="156"/>
      <c r="L71" s="156"/>
      <c r="M71" s="156"/>
      <c r="N71" s="156"/>
      <c r="O71" s="156"/>
      <c r="P71" s="156"/>
      <c r="Q71" s="156"/>
      <c r="R71" s="156"/>
      <c r="S71" s="156"/>
      <c r="T71" s="156"/>
      <c r="U71" s="156"/>
      <c r="V71" s="156"/>
      <c r="W71" s="156"/>
      <c r="X71" s="156"/>
      <c r="Y71" s="156"/>
      <c r="Z71" s="156"/>
      <c r="AA71" s="156"/>
      <c r="AB71" s="156"/>
    </row>
    <row r="72" spans="1:28" x14ac:dyDescent="0.3">
      <c r="A72" s="156"/>
      <c r="B72" s="156"/>
      <c r="C72" s="156"/>
      <c r="D72" s="156"/>
      <c r="E72" s="156"/>
      <c r="F72" s="156"/>
      <c r="G72" s="156"/>
      <c r="H72" s="156"/>
      <c r="I72" s="156"/>
      <c r="J72" s="156"/>
      <c r="K72" s="156"/>
      <c r="L72" s="156"/>
      <c r="M72" s="156"/>
      <c r="N72" s="156"/>
      <c r="O72" s="156"/>
      <c r="P72" s="156"/>
      <c r="Q72" s="156"/>
      <c r="R72" s="156"/>
      <c r="S72" s="156"/>
      <c r="T72" s="156"/>
      <c r="U72" s="156"/>
      <c r="V72" s="156"/>
      <c r="W72" s="156"/>
      <c r="X72" s="156"/>
      <c r="Y72" s="156"/>
      <c r="Z72" s="156"/>
      <c r="AA72" s="156"/>
      <c r="AB72" s="156"/>
    </row>
    <row r="73" spans="1:28" x14ac:dyDescent="0.3">
      <c r="A73" s="156"/>
      <c r="B73" s="156"/>
      <c r="C73" s="156"/>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156"/>
      <c r="AB73" s="156"/>
    </row>
    <row r="74" spans="1:28" x14ac:dyDescent="0.3">
      <c r="A74" s="156"/>
      <c r="B74" s="156"/>
      <c r="C74" s="156"/>
      <c r="D74" s="156"/>
      <c r="E74" s="156"/>
      <c r="F74" s="156"/>
      <c r="G74" s="156"/>
      <c r="H74" s="156"/>
      <c r="I74" s="156"/>
      <c r="J74" s="156"/>
      <c r="K74" s="156"/>
      <c r="L74" s="156"/>
      <c r="M74" s="156"/>
      <c r="N74" s="156"/>
      <c r="O74" s="156"/>
      <c r="P74" s="156"/>
      <c r="Q74" s="156"/>
      <c r="R74" s="156"/>
      <c r="S74" s="156"/>
      <c r="T74" s="156"/>
      <c r="U74" s="156"/>
      <c r="V74" s="156"/>
      <c r="W74" s="156"/>
      <c r="X74" s="156"/>
      <c r="Y74" s="156"/>
      <c r="Z74" s="156"/>
      <c r="AA74" s="156"/>
      <c r="AB74" s="156"/>
    </row>
    <row r="75" spans="1:28" x14ac:dyDescent="0.3">
      <c r="A75" s="156"/>
      <c r="B75" s="156"/>
      <c r="C75" s="156"/>
      <c r="D75" s="156"/>
      <c r="E75" s="156"/>
      <c r="F75" s="156"/>
      <c r="G75" s="156"/>
      <c r="H75" s="156"/>
      <c r="I75" s="156"/>
      <c r="J75" s="156"/>
      <c r="K75" s="156"/>
      <c r="L75" s="156"/>
      <c r="M75" s="156"/>
      <c r="N75" s="156"/>
      <c r="O75" s="156"/>
      <c r="P75" s="156"/>
      <c r="Q75" s="156"/>
      <c r="R75" s="156"/>
      <c r="S75" s="156"/>
      <c r="T75" s="156"/>
      <c r="U75" s="156"/>
      <c r="V75" s="156"/>
      <c r="W75" s="156"/>
      <c r="X75" s="156"/>
      <c r="Y75" s="156"/>
      <c r="Z75" s="156"/>
      <c r="AA75" s="156"/>
      <c r="AB75" s="156"/>
    </row>
    <row r="76" spans="1:28" x14ac:dyDescent="0.3">
      <c r="A76" s="156"/>
      <c r="B76" s="156"/>
      <c r="C76" s="156"/>
      <c r="D76" s="156"/>
      <c r="E76" s="156"/>
      <c r="F76" s="156"/>
      <c r="G76" s="156"/>
      <c r="H76" s="156"/>
      <c r="I76" s="156"/>
      <c r="J76" s="156"/>
      <c r="K76" s="156"/>
      <c r="L76" s="156"/>
      <c r="M76" s="156"/>
      <c r="N76" s="156"/>
      <c r="O76" s="156"/>
      <c r="P76" s="156"/>
      <c r="Q76" s="156"/>
      <c r="R76" s="156"/>
      <c r="S76" s="156"/>
      <c r="T76" s="156"/>
      <c r="U76" s="156"/>
      <c r="V76" s="156"/>
      <c r="W76" s="156"/>
      <c r="X76" s="156"/>
      <c r="Y76" s="156"/>
      <c r="Z76" s="156"/>
      <c r="AA76" s="156"/>
      <c r="AB76" s="156"/>
    </row>
    <row r="77" spans="1:28" x14ac:dyDescent="0.3">
      <c r="A77" s="156"/>
      <c r="B77" s="156"/>
      <c r="C77" s="156"/>
      <c r="D77" s="156"/>
      <c r="E77" s="156"/>
      <c r="F77" s="156"/>
      <c r="G77" s="156"/>
      <c r="H77" s="156"/>
      <c r="I77" s="156"/>
      <c r="J77" s="156"/>
      <c r="K77" s="156"/>
      <c r="L77" s="156"/>
      <c r="M77" s="156"/>
      <c r="N77" s="156"/>
      <c r="O77" s="156"/>
      <c r="P77" s="156"/>
      <c r="Q77" s="156"/>
      <c r="R77" s="156"/>
      <c r="S77" s="156"/>
      <c r="T77" s="156"/>
      <c r="U77" s="156"/>
      <c r="V77" s="156"/>
      <c r="W77" s="156"/>
      <c r="X77" s="156"/>
      <c r="Y77" s="156"/>
      <c r="Z77" s="156"/>
      <c r="AA77" s="156"/>
      <c r="AB77" s="156"/>
    </row>
    <row r="78" spans="1:28" x14ac:dyDescent="0.3">
      <c r="A78" s="156"/>
      <c r="B78" s="156"/>
      <c r="C78" s="156"/>
      <c r="D78" s="156"/>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156"/>
    </row>
    <row r="79" spans="1:28" x14ac:dyDescent="0.3">
      <c r="A79" s="156"/>
      <c r="B79" s="156"/>
      <c r="C79" s="156"/>
      <c r="D79" s="156"/>
      <c r="E79" s="156"/>
      <c r="F79" s="156"/>
      <c r="G79" s="156"/>
      <c r="H79" s="156"/>
      <c r="I79" s="156"/>
      <c r="J79" s="156"/>
      <c r="K79" s="156"/>
      <c r="L79" s="156"/>
      <c r="M79" s="156"/>
      <c r="N79" s="156"/>
      <c r="O79" s="156"/>
      <c r="P79" s="156"/>
      <c r="Q79" s="156"/>
      <c r="R79" s="156"/>
      <c r="S79" s="156"/>
      <c r="T79" s="156"/>
      <c r="U79" s="156"/>
      <c r="V79" s="156"/>
      <c r="W79" s="156"/>
      <c r="X79" s="156"/>
      <c r="Y79" s="156"/>
      <c r="Z79" s="156"/>
      <c r="AA79" s="156"/>
      <c r="AB79" s="156"/>
    </row>
    <row r="80" spans="1:28" x14ac:dyDescent="0.3">
      <c r="A80" s="156"/>
      <c r="B80" s="156"/>
      <c r="C80" s="156"/>
      <c r="D80" s="156"/>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156"/>
    </row>
    <row r="81" spans="1:28" x14ac:dyDescent="0.3">
      <c r="A81" s="156"/>
      <c r="B81" s="156"/>
      <c r="C81" s="156"/>
      <c r="D81" s="156"/>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156"/>
    </row>
    <row r="82" spans="1:28" x14ac:dyDescent="0.3">
      <c r="A82" s="156"/>
      <c r="B82" s="156"/>
      <c r="C82" s="156"/>
      <c r="D82" s="156"/>
      <c r="E82" s="156"/>
      <c r="F82" s="156"/>
      <c r="G82" s="156"/>
      <c r="H82" s="156"/>
      <c r="I82" s="156"/>
      <c r="J82" s="156"/>
      <c r="K82" s="156"/>
      <c r="L82" s="156"/>
      <c r="M82" s="156"/>
      <c r="N82" s="156"/>
      <c r="O82" s="156"/>
      <c r="P82" s="156"/>
      <c r="Q82" s="156"/>
      <c r="R82" s="156"/>
      <c r="S82" s="156"/>
      <c r="T82" s="156"/>
      <c r="U82" s="156"/>
      <c r="V82" s="156"/>
      <c r="W82" s="156"/>
      <c r="X82" s="156"/>
      <c r="Y82" s="156"/>
      <c r="Z82" s="156"/>
      <c r="AA82" s="156"/>
      <c r="AB82" s="156"/>
    </row>
    <row r="83" spans="1:28" x14ac:dyDescent="0.3">
      <c r="A83" s="156"/>
      <c r="B83" s="156"/>
      <c r="C83" s="156"/>
      <c r="D83" s="156"/>
      <c r="E83" s="156"/>
      <c r="F83" s="156"/>
      <c r="G83" s="156"/>
      <c r="H83" s="156"/>
      <c r="I83" s="156"/>
      <c r="J83" s="156"/>
      <c r="K83" s="156"/>
      <c r="L83" s="156"/>
      <c r="M83" s="156"/>
      <c r="N83" s="156"/>
      <c r="O83" s="156"/>
      <c r="P83" s="156"/>
      <c r="Q83" s="156"/>
      <c r="R83" s="156"/>
      <c r="S83" s="156"/>
      <c r="T83" s="156"/>
      <c r="U83" s="156"/>
      <c r="V83" s="156"/>
      <c r="W83" s="156"/>
      <c r="X83" s="156"/>
      <c r="Y83" s="156"/>
      <c r="Z83" s="156"/>
      <c r="AA83" s="156"/>
      <c r="AB83" s="156"/>
    </row>
    <row r="84" spans="1:28" x14ac:dyDescent="0.3">
      <c r="A84" s="156"/>
      <c r="B84" s="156"/>
      <c r="C84" s="156"/>
      <c r="D84" s="156"/>
      <c r="E84" s="156"/>
      <c r="F84" s="156"/>
      <c r="G84" s="156"/>
      <c r="H84" s="156"/>
      <c r="I84" s="156"/>
      <c r="J84" s="156"/>
      <c r="K84" s="156"/>
      <c r="L84" s="156"/>
      <c r="M84" s="156"/>
      <c r="N84" s="156"/>
      <c r="O84" s="156"/>
      <c r="P84" s="156"/>
      <c r="Q84" s="156"/>
      <c r="R84" s="156"/>
      <c r="S84" s="156"/>
      <c r="T84" s="156"/>
      <c r="U84" s="156"/>
      <c r="V84" s="156"/>
      <c r="W84" s="156"/>
      <c r="X84" s="156"/>
      <c r="Y84" s="156"/>
      <c r="Z84" s="156"/>
      <c r="AA84" s="156"/>
      <c r="AB84" s="156"/>
    </row>
    <row r="85" spans="1:28" x14ac:dyDescent="0.3">
      <c r="A85" s="156"/>
      <c r="B85" s="156"/>
      <c r="C85" s="156"/>
      <c r="D85" s="156"/>
      <c r="E85" s="156"/>
      <c r="F85" s="156"/>
      <c r="G85" s="156"/>
      <c r="H85" s="156"/>
      <c r="I85" s="156"/>
      <c r="J85" s="156"/>
      <c r="K85" s="156"/>
      <c r="L85" s="156"/>
      <c r="M85" s="156"/>
      <c r="N85" s="156"/>
      <c r="O85" s="156"/>
      <c r="P85" s="156"/>
      <c r="Q85" s="156"/>
      <c r="R85" s="156"/>
      <c r="S85" s="156"/>
      <c r="T85" s="156"/>
      <c r="U85" s="156"/>
      <c r="V85" s="156"/>
      <c r="W85" s="156"/>
      <c r="X85" s="156"/>
      <c r="Y85" s="156"/>
      <c r="Z85" s="156"/>
      <c r="AA85" s="156"/>
      <c r="AB85" s="156"/>
    </row>
    <row r="86" spans="1:28" x14ac:dyDescent="0.3">
      <c r="A86" s="156"/>
      <c r="B86" s="156"/>
      <c r="C86" s="156"/>
      <c r="D86" s="156"/>
      <c r="E86" s="156"/>
      <c r="F86" s="156"/>
      <c r="G86" s="156"/>
      <c r="H86" s="156"/>
      <c r="I86" s="156"/>
      <c r="J86" s="156"/>
      <c r="K86" s="156"/>
      <c r="L86" s="156"/>
      <c r="M86" s="156"/>
      <c r="N86" s="156"/>
      <c r="O86" s="156"/>
      <c r="P86" s="156"/>
      <c r="Q86" s="156"/>
      <c r="R86" s="156"/>
      <c r="S86" s="156"/>
      <c r="T86" s="156"/>
      <c r="U86" s="156"/>
      <c r="V86" s="156"/>
      <c r="W86" s="156"/>
      <c r="X86" s="156"/>
      <c r="Y86" s="156"/>
      <c r="Z86" s="156"/>
      <c r="AA86" s="156"/>
      <c r="AB86" s="156"/>
    </row>
    <row r="87" spans="1:28" x14ac:dyDescent="0.3">
      <c r="A87" s="156"/>
      <c r="B87" s="156"/>
      <c r="C87" s="156"/>
      <c r="D87" s="156"/>
      <c r="E87" s="156"/>
      <c r="F87" s="156"/>
      <c r="G87" s="156"/>
      <c r="H87" s="156"/>
      <c r="I87" s="156"/>
      <c r="J87" s="156"/>
      <c r="K87" s="156"/>
      <c r="L87" s="156"/>
      <c r="M87" s="156"/>
      <c r="N87" s="156"/>
      <c r="O87" s="156"/>
      <c r="P87" s="156"/>
      <c r="Q87" s="156"/>
      <c r="R87" s="156"/>
      <c r="S87" s="156"/>
      <c r="T87" s="156"/>
      <c r="U87" s="156"/>
      <c r="V87" s="156"/>
      <c r="W87" s="156"/>
      <c r="X87" s="156"/>
      <c r="Y87" s="156"/>
      <c r="Z87" s="156"/>
      <c r="AA87" s="156"/>
      <c r="AB87" s="156"/>
    </row>
    <row r="88" spans="1:28" x14ac:dyDescent="0.3">
      <c r="A88" s="156"/>
      <c r="B88" s="156"/>
      <c r="C88" s="156"/>
      <c r="D88" s="156"/>
      <c r="E88" s="156"/>
      <c r="F88" s="156"/>
      <c r="G88" s="156"/>
      <c r="H88" s="156"/>
      <c r="I88" s="156"/>
      <c r="J88" s="156"/>
      <c r="K88" s="156"/>
      <c r="L88" s="156"/>
      <c r="M88" s="156"/>
      <c r="N88" s="156"/>
      <c r="O88" s="156"/>
      <c r="P88" s="156"/>
      <c r="Q88" s="156"/>
      <c r="R88" s="156"/>
      <c r="S88" s="156"/>
      <c r="T88" s="156"/>
      <c r="U88" s="156"/>
      <c r="V88" s="156"/>
      <c r="W88" s="156"/>
      <c r="X88" s="156"/>
      <c r="Y88" s="156"/>
      <c r="Z88" s="156"/>
      <c r="AA88" s="156"/>
      <c r="AB88" s="156"/>
    </row>
    <row r="89" spans="1:28" x14ac:dyDescent="0.3">
      <c r="A89" s="156"/>
      <c r="B89" s="156"/>
      <c r="C89" s="156"/>
      <c r="D89" s="156"/>
      <c r="E89" s="156"/>
      <c r="F89" s="156"/>
      <c r="G89" s="156"/>
      <c r="H89" s="156"/>
      <c r="I89" s="156"/>
      <c r="J89" s="156"/>
      <c r="K89" s="156"/>
      <c r="L89" s="156"/>
      <c r="M89" s="156"/>
      <c r="N89" s="156"/>
      <c r="O89" s="156"/>
      <c r="P89" s="156"/>
      <c r="Q89" s="156"/>
      <c r="R89" s="156"/>
      <c r="S89" s="156"/>
      <c r="T89" s="156"/>
      <c r="U89" s="156"/>
      <c r="V89" s="156"/>
      <c r="W89" s="156"/>
      <c r="X89" s="156"/>
      <c r="Y89" s="156"/>
      <c r="Z89" s="156"/>
      <c r="AA89" s="156"/>
      <c r="AB89" s="156"/>
    </row>
    <row r="90" spans="1:28" x14ac:dyDescent="0.3">
      <c r="A90" s="156"/>
      <c r="B90" s="156"/>
      <c r="C90" s="156"/>
      <c r="D90" s="156"/>
      <c r="E90" s="156"/>
      <c r="F90" s="156"/>
      <c r="G90" s="156"/>
      <c r="H90" s="156"/>
      <c r="I90" s="156"/>
      <c r="J90" s="156"/>
      <c r="K90" s="156"/>
      <c r="L90" s="156"/>
      <c r="M90" s="156"/>
      <c r="N90" s="156"/>
      <c r="O90" s="156"/>
      <c r="P90" s="156"/>
      <c r="Q90" s="156"/>
      <c r="R90" s="156"/>
      <c r="S90" s="156"/>
      <c r="T90" s="156"/>
      <c r="U90" s="156"/>
      <c r="V90" s="156"/>
      <c r="W90" s="156"/>
      <c r="X90" s="156"/>
      <c r="Y90" s="156"/>
      <c r="Z90" s="156"/>
      <c r="AA90" s="156"/>
      <c r="AB90" s="156"/>
    </row>
    <row r="91" spans="1:28" x14ac:dyDescent="0.3">
      <c r="A91" s="156"/>
      <c r="B91" s="156"/>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156"/>
    </row>
    <row r="92" spans="1:28" x14ac:dyDescent="0.3">
      <c r="A92" s="156"/>
      <c r="B92" s="156"/>
      <c r="C92" s="156"/>
      <c r="D92" s="156"/>
      <c r="E92" s="156"/>
      <c r="F92" s="156"/>
      <c r="G92" s="156"/>
      <c r="H92" s="156"/>
      <c r="I92" s="156"/>
      <c r="J92" s="156"/>
      <c r="K92" s="156"/>
      <c r="L92" s="156"/>
      <c r="M92" s="156"/>
      <c r="N92" s="156"/>
      <c r="O92" s="156"/>
      <c r="P92" s="156"/>
      <c r="Q92" s="156"/>
      <c r="R92" s="156"/>
      <c r="S92" s="156"/>
      <c r="T92" s="156"/>
      <c r="U92" s="156"/>
      <c r="V92" s="156"/>
      <c r="W92" s="156"/>
      <c r="X92" s="156"/>
      <c r="Y92" s="156"/>
      <c r="Z92" s="156"/>
      <c r="AA92" s="156"/>
      <c r="AB92" s="156"/>
    </row>
    <row r="93" spans="1:28" x14ac:dyDescent="0.3">
      <c r="A93" s="156"/>
      <c r="B93" s="156"/>
      <c r="C93" s="156"/>
      <c r="D93" s="156"/>
      <c r="E93" s="156"/>
      <c r="F93" s="156"/>
      <c r="G93" s="156"/>
      <c r="H93" s="156"/>
      <c r="I93" s="156"/>
      <c r="J93" s="156"/>
      <c r="K93" s="156"/>
      <c r="L93" s="156"/>
      <c r="M93" s="156"/>
      <c r="N93" s="156"/>
      <c r="O93" s="156"/>
      <c r="P93" s="156"/>
      <c r="Q93" s="156"/>
      <c r="R93" s="156"/>
      <c r="S93" s="156"/>
      <c r="T93" s="156"/>
      <c r="U93" s="156"/>
      <c r="V93" s="156"/>
      <c r="W93" s="156"/>
      <c r="X93" s="156"/>
      <c r="Y93" s="156"/>
      <c r="Z93" s="156"/>
      <c r="AA93" s="156"/>
      <c r="AB93" s="156"/>
    </row>
    <row r="94" spans="1:28" x14ac:dyDescent="0.3">
      <c r="A94" s="156"/>
      <c r="B94" s="156"/>
      <c r="C94" s="156"/>
      <c r="D94" s="156"/>
      <c r="E94" s="156"/>
      <c r="F94" s="156"/>
      <c r="G94" s="156"/>
      <c r="H94" s="156"/>
      <c r="I94" s="156"/>
      <c r="J94" s="156"/>
      <c r="K94" s="156"/>
      <c r="L94" s="156"/>
      <c r="M94" s="156"/>
      <c r="N94" s="156"/>
      <c r="O94" s="156"/>
      <c r="P94" s="156"/>
      <c r="Q94" s="156"/>
      <c r="R94" s="156"/>
      <c r="S94" s="156"/>
      <c r="T94" s="156"/>
      <c r="U94" s="156"/>
      <c r="V94" s="156"/>
      <c r="W94" s="156"/>
      <c r="X94" s="156"/>
      <c r="Y94" s="156"/>
      <c r="Z94" s="156"/>
      <c r="AA94" s="156"/>
      <c r="AB94" s="156"/>
    </row>
    <row r="95" spans="1:28" x14ac:dyDescent="0.3">
      <c r="A95" s="156"/>
      <c r="B95" s="156"/>
      <c r="C95" s="156"/>
      <c r="D95" s="156"/>
      <c r="E95" s="156"/>
      <c r="F95" s="156"/>
      <c r="G95" s="156"/>
      <c r="H95" s="156"/>
      <c r="I95" s="156"/>
      <c r="J95" s="156"/>
      <c r="K95" s="156"/>
      <c r="L95" s="156"/>
      <c r="M95" s="156"/>
      <c r="N95" s="156"/>
      <c r="O95" s="156"/>
      <c r="P95" s="156"/>
      <c r="Q95" s="156"/>
      <c r="R95" s="156"/>
      <c r="S95" s="156"/>
      <c r="T95" s="156"/>
      <c r="U95" s="156"/>
      <c r="V95" s="156"/>
      <c r="W95" s="156"/>
      <c r="X95" s="156"/>
      <c r="Y95" s="156"/>
      <c r="Z95" s="156"/>
      <c r="AA95" s="156"/>
      <c r="AB95" s="156"/>
    </row>
    <row r="96" spans="1:28" x14ac:dyDescent="0.3">
      <c r="A96" s="156"/>
      <c r="B96" s="156"/>
      <c r="C96" s="156"/>
      <c r="D96" s="156"/>
      <c r="E96" s="156"/>
      <c r="F96" s="156"/>
      <c r="G96" s="156"/>
      <c r="H96" s="156"/>
      <c r="I96" s="156"/>
      <c r="J96" s="156"/>
      <c r="K96" s="156"/>
      <c r="L96" s="156"/>
      <c r="M96" s="156"/>
      <c r="N96" s="156"/>
      <c r="O96" s="156"/>
      <c r="P96" s="156"/>
      <c r="Q96" s="156"/>
      <c r="R96" s="156"/>
      <c r="S96" s="156"/>
      <c r="T96" s="156"/>
      <c r="U96" s="156"/>
      <c r="V96" s="156"/>
      <c r="W96" s="156"/>
      <c r="X96" s="156"/>
      <c r="Y96" s="156"/>
      <c r="Z96" s="156"/>
      <c r="AA96" s="156"/>
      <c r="AB96" s="156"/>
    </row>
    <row r="97" spans="1:28" x14ac:dyDescent="0.3">
      <c r="A97" s="105"/>
      <c r="B97" s="105"/>
      <c r="C97" s="105"/>
      <c r="D97" s="105"/>
      <c r="E97" s="105"/>
      <c r="F97" s="105"/>
      <c r="G97" s="5"/>
      <c r="H97" s="5"/>
      <c r="I97" s="5"/>
      <c r="J97" s="5"/>
      <c r="K97" s="5"/>
      <c r="L97" s="5"/>
      <c r="M97" s="5"/>
      <c r="N97" s="5"/>
      <c r="O97" s="5"/>
      <c r="P97" s="5"/>
      <c r="Q97" s="5"/>
      <c r="R97" s="5"/>
      <c r="S97" s="5"/>
      <c r="T97" s="5"/>
      <c r="U97" s="5"/>
      <c r="V97" s="5"/>
      <c r="W97" s="5"/>
      <c r="X97" s="5"/>
      <c r="Y97" s="5"/>
      <c r="Z97" s="5"/>
      <c r="AA97" s="5"/>
      <c r="AB97" s="5"/>
    </row>
    <row r="98" spans="1:28" x14ac:dyDescent="0.3">
      <c r="A98" s="105"/>
      <c r="B98" s="105"/>
      <c r="C98" s="105"/>
      <c r="D98" s="105"/>
      <c r="E98" s="105"/>
      <c r="F98" s="105"/>
      <c r="G98" s="5"/>
      <c r="H98" s="5"/>
      <c r="I98" s="5"/>
      <c r="J98" s="5"/>
      <c r="K98" s="5"/>
      <c r="L98" s="5"/>
      <c r="M98" s="5"/>
      <c r="N98" s="5"/>
      <c r="O98" s="5"/>
      <c r="P98" s="5"/>
      <c r="Q98" s="5"/>
      <c r="R98" s="5"/>
      <c r="S98" s="5"/>
      <c r="T98" s="5"/>
      <c r="U98" s="5"/>
      <c r="V98" s="5"/>
      <c r="W98" s="5"/>
      <c r="X98" s="5"/>
      <c r="Y98" s="5"/>
      <c r="Z98" s="5"/>
      <c r="AA98" s="5"/>
      <c r="AB98" s="5"/>
    </row>
    <row r="99" spans="1:28" x14ac:dyDescent="0.3">
      <c r="A99" s="105"/>
      <c r="B99" s="105"/>
      <c r="C99" s="105"/>
      <c r="D99" s="105"/>
      <c r="E99" s="105"/>
      <c r="F99" s="105"/>
    </row>
    <row r="100" spans="1:28" x14ac:dyDescent="0.3">
      <c r="A100" s="105"/>
      <c r="B100" s="105"/>
      <c r="C100" s="105"/>
      <c r="D100" s="105"/>
      <c r="E100" s="105"/>
      <c r="F100" s="105"/>
    </row>
    <row r="101" spans="1:28" x14ac:dyDescent="0.3">
      <c r="A101" s="105"/>
      <c r="B101" s="105"/>
      <c r="C101" s="105"/>
      <c r="D101" s="105"/>
      <c r="E101" s="105"/>
      <c r="F101" s="105"/>
    </row>
  </sheetData>
  <sheetProtection sheet="1" objects="1" scenarios="1"/>
  <mergeCells count="7">
    <mergeCell ref="A1:AB2"/>
    <mergeCell ref="A34:AB35"/>
    <mergeCell ref="A97:F101"/>
    <mergeCell ref="A66:AB67"/>
    <mergeCell ref="A3:AB33"/>
    <mergeCell ref="A36:AB65"/>
    <mergeCell ref="A68:AB96"/>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D3:Z112"/>
  <sheetViews>
    <sheetView topLeftCell="C1" zoomScaleNormal="100" workbookViewId="0">
      <selection activeCell="A126" sqref="A126"/>
    </sheetView>
  </sheetViews>
  <sheetFormatPr defaultRowHeight="14.4" x14ac:dyDescent="0.3"/>
  <cols>
    <col min="4" max="4" width="24.88671875" customWidth="1"/>
    <col min="5" max="5" width="33.6640625" customWidth="1"/>
    <col min="6" max="6" width="35.109375" customWidth="1"/>
    <col min="7" max="7" width="31.5546875" customWidth="1"/>
    <col min="8" max="8" width="35.5546875" customWidth="1"/>
    <col min="9" max="9" width="34.33203125" customWidth="1"/>
    <col min="10" max="10" width="35.5546875" customWidth="1"/>
    <col min="11" max="11" width="33.6640625" customWidth="1"/>
    <col min="12" max="12" width="35.109375" customWidth="1"/>
    <col min="13" max="13" width="19.5546875" customWidth="1"/>
    <col min="14" max="14" width="18.33203125" customWidth="1"/>
    <col min="15" max="15" width="29.44140625" customWidth="1"/>
    <col min="16" max="16" width="31.6640625" customWidth="1"/>
    <col min="17" max="17" width="33.33203125" customWidth="1"/>
    <col min="18" max="18" width="32.88671875" customWidth="1"/>
    <col min="19" max="19" width="34.5546875" customWidth="1"/>
    <col min="20" max="20" width="32.88671875" customWidth="1"/>
    <col min="21" max="21" width="34.5546875" customWidth="1"/>
    <col min="22" max="22" width="32.33203125" customWidth="1"/>
    <col min="23" max="23" width="33.88671875" customWidth="1"/>
    <col min="24" max="24" width="23.109375" customWidth="1"/>
    <col min="25" max="25" width="21.6640625" customWidth="1"/>
    <col min="26" max="26" width="31.88671875" customWidth="1"/>
  </cols>
  <sheetData>
    <row r="3" spans="4:26" x14ac:dyDescent="0.3">
      <c r="D3" s="16"/>
      <c r="E3" s="16"/>
      <c r="F3" s="16"/>
      <c r="G3" s="16"/>
      <c r="H3" s="16"/>
      <c r="I3" s="16"/>
      <c r="J3" s="16"/>
      <c r="K3" s="16"/>
      <c r="L3" s="16"/>
      <c r="M3" s="16"/>
      <c r="N3" s="16"/>
      <c r="O3" s="16"/>
      <c r="P3" s="16"/>
      <c r="Q3" s="16"/>
      <c r="R3" s="16"/>
      <c r="S3" s="16"/>
      <c r="T3" s="16"/>
      <c r="U3" s="16"/>
      <c r="V3" s="16"/>
      <c r="W3" s="16"/>
      <c r="X3" s="16"/>
      <c r="Y3" s="16"/>
      <c r="Z3" s="16"/>
    </row>
    <row r="4" spans="4:26" ht="27.6" customHeight="1" x14ac:dyDescent="0.3">
      <c r="D4" s="24" t="s">
        <v>274</v>
      </c>
      <c r="E4" s="25" t="s">
        <v>280</v>
      </c>
      <c r="F4" s="25" t="s">
        <v>281</v>
      </c>
      <c r="G4" s="25" t="s">
        <v>282</v>
      </c>
      <c r="H4" s="25" t="s">
        <v>283</v>
      </c>
      <c r="I4" s="25" t="s">
        <v>317</v>
      </c>
      <c r="J4" s="25" t="s">
        <v>316</v>
      </c>
      <c r="K4" s="25" t="s">
        <v>284</v>
      </c>
      <c r="L4" s="25" t="s">
        <v>285</v>
      </c>
      <c r="M4" s="25" t="s">
        <v>286</v>
      </c>
      <c r="N4" s="25" t="s">
        <v>287</v>
      </c>
      <c r="O4" s="25" t="s">
        <v>278</v>
      </c>
      <c r="P4" s="25" t="s">
        <v>288</v>
      </c>
      <c r="Q4" s="25" t="s">
        <v>289</v>
      </c>
      <c r="R4" s="25" t="s">
        <v>290</v>
      </c>
      <c r="S4" s="25" t="s">
        <v>291</v>
      </c>
      <c r="T4" s="25" t="s">
        <v>318</v>
      </c>
      <c r="U4" s="25" t="s">
        <v>319</v>
      </c>
      <c r="V4" s="25" t="s">
        <v>292</v>
      </c>
      <c r="W4" s="25" t="s">
        <v>293</v>
      </c>
      <c r="X4" s="25" t="s">
        <v>294</v>
      </c>
      <c r="Y4" s="25" t="s">
        <v>295</v>
      </c>
      <c r="Z4" s="26" t="s">
        <v>296</v>
      </c>
    </row>
    <row r="5" spans="4:26" x14ac:dyDescent="0.3">
      <c r="D5" s="27" t="s">
        <v>24</v>
      </c>
      <c r="E5" s="17">
        <v>7</v>
      </c>
      <c r="F5" s="17" t="s">
        <v>80</v>
      </c>
      <c r="G5" s="17">
        <v>22</v>
      </c>
      <c r="H5" s="17" t="s">
        <v>81</v>
      </c>
      <c r="I5" s="17">
        <v>27</v>
      </c>
      <c r="J5" s="17" t="s">
        <v>81</v>
      </c>
      <c r="K5" s="17">
        <v>18</v>
      </c>
      <c r="L5" s="17" t="s">
        <v>81</v>
      </c>
      <c r="M5" s="17">
        <f>MAX(E5,G5,I5,K5)</f>
        <v>27</v>
      </c>
      <c r="N5" s="17">
        <f>MIN(E5,G5,I5,K5)</f>
        <v>7</v>
      </c>
      <c r="O5" s="17">
        <f>SUM(E5,G5,I5,K5)</f>
        <v>74</v>
      </c>
      <c r="P5" s="17">
        <v>16</v>
      </c>
      <c r="Q5" s="17" t="s">
        <v>81</v>
      </c>
      <c r="R5" s="17">
        <v>43</v>
      </c>
      <c r="S5" s="17" t="s">
        <v>83</v>
      </c>
      <c r="T5" s="17">
        <v>38</v>
      </c>
      <c r="U5" s="17" t="s">
        <v>82</v>
      </c>
      <c r="V5" s="17">
        <v>8</v>
      </c>
      <c r="W5" s="17" t="s">
        <v>80</v>
      </c>
      <c r="X5" s="17">
        <f>MAX(P5,R5,T5,V5)</f>
        <v>43</v>
      </c>
      <c r="Y5" s="17">
        <f>MIN(P5,R5,T5,V5)</f>
        <v>8</v>
      </c>
      <c r="Z5" s="28">
        <f>SUM(P5,R5,T5,V5)</f>
        <v>105</v>
      </c>
    </row>
    <row r="6" spans="4:26" x14ac:dyDescent="0.3">
      <c r="D6" s="27" t="s">
        <v>26</v>
      </c>
      <c r="E6" s="17">
        <v>25</v>
      </c>
      <c r="F6" s="17" t="s">
        <v>81</v>
      </c>
      <c r="G6" s="17">
        <v>39</v>
      </c>
      <c r="H6" s="17" t="s">
        <v>82</v>
      </c>
      <c r="I6" s="17">
        <v>23</v>
      </c>
      <c r="J6" s="17" t="s">
        <v>81</v>
      </c>
      <c r="K6" s="17">
        <v>34</v>
      </c>
      <c r="L6" s="17" t="s">
        <v>82</v>
      </c>
      <c r="M6" s="17">
        <f t="shared" ref="M6:M34" si="0">MAX(E6,G6,I6,K6)</f>
        <v>39</v>
      </c>
      <c r="N6" s="17">
        <f t="shared" ref="N6:N34" si="1">MIN(E6,G6,I6,K6)</f>
        <v>23</v>
      </c>
      <c r="O6" s="17">
        <f t="shared" ref="O6:O34" si="2">SUM(E6,G6,I6,K6)</f>
        <v>121</v>
      </c>
      <c r="P6" s="17">
        <v>18</v>
      </c>
      <c r="Q6" s="17" t="s">
        <v>81</v>
      </c>
      <c r="R6" s="17">
        <v>2</v>
      </c>
      <c r="S6" s="17" t="s">
        <v>80</v>
      </c>
      <c r="T6" s="17">
        <v>11</v>
      </c>
      <c r="U6" s="17" t="s">
        <v>81</v>
      </c>
      <c r="V6" s="17">
        <v>39</v>
      </c>
      <c r="W6" s="17" t="s">
        <v>82</v>
      </c>
      <c r="X6" s="17">
        <f t="shared" ref="X6:X34" si="3">MAX(P6,R6,T6,V6)</f>
        <v>39</v>
      </c>
      <c r="Y6" s="17">
        <f t="shared" ref="Y6:Y34" si="4">MIN(P6,R6,T6,V6)</f>
        <v>2</v>
      </c>
      <c r="Z6" s="28">
        <f t="shared" ref="Z6:Z34" si="5">SUM(P6,R6,T6,V6)</f>
        <v>70</v>
      </c>
    </row>
    <row r="7" spans="4:26" x14ac:dyDescent="0.3">
      <c r="D7" s="27" t="s">
        <v>50</v>
      </c>
      <c r="E7" s="17">
        <v>37</v>
      </c>
      <c r="F7" s="17" t="s">
        <v>82</v>
      </c>
      <c r="G7" s="17">
        <v>48</v>
      </c>
      <c r="H7" s="17" t="s">
        <v>83</v>
      </c>
      <c r="I7" s="17">
        <v>3</v>
      </c>
      <c r="J7" s="17" t="s">
        <v>80</v>
      </c>
      <c r="K7" s="17">
        <v>14</v>
      </c>
      <c r="L7" s="17" t="s">
        <v>81</v>
      </c>
      <c r="M7" s="17">
        <f t="shared" si="0"/>
        <v>48</v>
      </c>
      <c r="N7" s="17">
        <f t="shared" si="1"/>
        <v>3</v>
      </c>
      <c r="O7" s="17">
        <f t="shared" si="2"/>
        <v>102</v>
      </c>
      <c r="P7" s="17">
        <v>46</v>
      </c>
      <c r="Q7" s="17" t="s">
        <v>83</v>
      </c>
      <c r="R7" s="17">
        <v>36</v>
      </c>
      <c r="S7" s="17" t="s">
        <v>82</v>
      </c>
      <c r="T7" s="17">
        <v>41</v>
      </c>
      <c r="U7" s="17" t="s">
        <v>83</v>
      </c>
      <c r="V7" s="17">
        <v>42</v>
      </c>
      <c r="W7" s="17" t="s">
        <v>83</v>
      </c>
      <c r="X7" s="17">
        <f t="shared" si="3"/>
        <v>46</v>
      </c>
      <c r="Y7" s="17">
        <f t="shared" si="4"/>
        <v>36</v>
      </c>
      <c r="Z7" s="28">
        <f t="shared" si="5"/>
        <v>165</v>
      </c>
    </row>
    <row r="8" spans="4:26" x14ac:dyDescent="0.3">
      <c r="D8" s="27" t="s">
        <v>69</v>
      </c>
      <c r="E8" s="17">
        <v>6</v>
      </c>
      <c r="F8" s="17" t="s">
        <v>80</v>
      </c>
      <c r="G8" s="17">
        <v>26</v>
      </c>
      <c r="H8" s="17" t="s">
        <v>81</v>
      </c>
      <c r="I8" s="17">
        <v>17</v>
      </c>
      <c r="J8" s="17" t="s">
        <v>81</v>
      </c>
      <c r="K8" s="17">
        <v>3</v>
      </c>
      <c r="L8" s="17" t="s">
        <v>80</v>
      </c>
      <c r="M8" s="17">
        <f t="shared" si="0"/>
        <v>26</v>
      </c>
      <c r="N8" s="17">
        <f t="shared" si="1"/>
        <v>3</v>
      </c>
      <c r="O8" s="17">
        <f t="shared" si="2"/>
        <v>52</v>
      </c>
      <c r="P8" s="17">
        <v>14</v>
      </c>
      <c r="Q8" s="17" t="s">
        <v>81</v>
      </c>
      <c r="R8" s="17">
        <v>28</v>
      </c>
      <c r="S8" s="17" t="s">
        <v>81</v>
      </c>
      <c r="T8" s="17">
        <v>18</v>
      </c>
      <c r="U8" s="17" t="s">
        <v>81</v>
      </c>
      <c r="V8" s="17">
        <v>44</v>
      </c>
      <c r="W8" s="17" t="s">
        <v>83</v>
      </c>
      <c r="X8" s="17">
        <f t="shared" si="3"/>
        <v>44</v>
      </c>
      <c r="Y8" s="17">
        <f t="shared" si="4"/>
        <v>14</v>
      </c>
      <c r="Z8" s="28">
        <f t="shared" si="5"/>
        <v>104</v>
      </c>
    </row>
    <row r="9" spans="4:26" x14ac:dyDescent="0.3">
      <c r="D9" s="27" t="s">
        <v>68</v>
      </c>
      <c r="E9" s="17">
        <v>12</v>
      </c>
      <c r="F9" s="17" t="s">
        <v>81</v>
      </c>
      <c r="G9" s="17">
        <v>17</v>
      </c>
      <c r="H9" s="17" t="s">
        <v>81</v>
      </c>
      <c r="I9" s="17">
        <v>34</v>
      </c>
      <c r="J9" s="17" t="s">
        <v>82</v>
      </c>
      <c r="K9" s="17">
        <v>47</v>
      </c>
      <c r="L9" s="17" t="s">
        <v>83</v>
      </c>
      <c r="M9" s="17">
        <f t="shared" si="0"/>
        <v>47</v>
      </c>
      <c r="N9" s="17">
        <f t="shared" si="1"/>
        <v>12</v>
      </c>
      <c r="O9" s="17">
        <f t="shared" si="2"/>
        <v>110</v>
      </c>
      <c r="P9" s="17">
        <v>33</v>
      </c>
      <c r="Q9" s="17" t="s">
        <v>82</v>
      </c>
      <c r="R9" s="17">
        <v>1</v>
      </c>
      <c r="S9" s="17" t="s">
        <v>80</v>
      </c>
      <c r="T9" s="17">
        <v>4</v>
      </c>
      <c r="U9" s="17" t="s">
        <v>80</v>
      </c>
      <c r="V9" s="17">
        <v>12</v>
      </c>
      <c r="W9" s="17" t="s">
        <v>81</v>
      </c>
      <c r="X9" s="17">
        <f t="shared" si="3"/>
        <v>33</v>
      </c>
      <c r="Y9" s="17">
        <f t="shared" si="4"/>
        <v>1</v>
      </c>
      <c r="Z9" s="28">
        <f t="shared" si="5"/>
        <v>50</v>
      </c>
    </row>
    <row r="10" spans="4:26" x14ac:dyDescent="0.3">
      <c r="D10" s="27" t="s">
        <v>14</v>
      </c>
      <c r="E10" s="17">
        <v>49</v>
      </c>
      <c r="F10" s="17" t="s">
        <v>83</v>
      </c>
      <c r="G10" s="17">
        <v>31</v>
      </c>
      <c r="H10" s="17" t="s">
        <v>82</v>
      </c>
      <c r="I10" s="17">
        <v>26</v>
      </c>
      <c r="J10" s="17" t="s">
        <v>81</v>
      </c>
      <c r="K10" s="17">
        <v>40</v>
      </c>
      <c r="L10" s="17" t="s">
        <v>83</v>
      </c>
      <c r="M10" s="17">
        <f t="shared" si="0"/>
        <v>49</v>
      </c>
      <c r="N10" s="17">
        <f t="shared" si="1"/>
        <v>26</v>
      </c>
      <c r="O10" s="17">
        <f t="shared" si="2"/>
        <v>146</v>
      </c>
      <c r="P10" s="17">
        <v>17</v>
      </c>
      <c r="Q10" s="17" t="s">
        <v>81</v>
      </c>
      <c r="R10" s="17">
        <v>34</v>
      </c>
      <c r="S10" s="17" t="s">
        <v>82</v>
      </c>
      <c r="T10" s="17">
        <v>24</v>
      </c>
      <c r="U10" s="17" t="s">
        <v>81</v>
      </c>
      <c r="V10" s="17">
        <v>6</v>
      </c>
      <c r="W10" s="17" t="s">
        <v>80</v>
      </c>
      <c r="X10" s="17">
        <f t="shared" si="3"/>
        <v>34</v>
      </c>
      <c r="Y10" s="17">
        <f t="shared" si="4"/>
        <v>6</v>
      </c>
      <c r="Z10" s="28">
        <f t="shared" si="5"/>
        <v>81</v>
      </c>
    </row>
    <row r="11" spans="4:26" x14ac:dyDescent="0.3">
      <c r="D11" s="27" t="s">
        <v>43</v>
      </c>
      <c r="E11" s="17">
        <v>50</v>
      </c>
      <c r="F11" s="17" t="s">
        <v>83</v>
      </c>
      <c r="G11" s="17">
        <v>50</v>
      </c>
      <c r="H11" s="17" t="s">
        <v>83</v>
      </c>
      <c r="I11" s="17">
        <v>50</v>
      </c>
      <c r="J11" s="17" t="s">
        <v>83</v>
      </c>
      <c r="K11" s="17">
        <v>50</v>
      </c>
      <c r="L11" s="17" t="s">
        <v>83</v>
      </c>
      <c r="M11" s="17">
        <f t="shared" si="0"/>
        <v>50</v>
      </c>
      <c r="N11" s="17">
        <f t="shared" si="1"/>
        <v>50</v>
      </c>
      <c r="O11" s="17">
        <f t="shared" si="2"/>
        <v>200</v>
      </c>
      <c r="P11" s="17">
        <v>18</v>
      </c>
      <c r="Q11" s="17" t="s">
        <v>81</v>
      </c>
      <c r="R11" s="17">
        <v>13</v>
      </c>
      <c r="S11" s="17" t="s">
        <v>81</v>
      </c>
      <c r="T11" s="17">
        <v>14</v>
      </c>
      <c r="U11" s="17" t="s">
        <v>81</v>
      </c>
      <c r="V11" s="17">
        <v>29</v>
      </c>
      <c r="W11" s="17" t="s">
        <v>81</v>
      </c>
      <c r="X11" s="17">
        <f t="shared" si="3"/>
        <v>29</v>
      </c>
      <c r="Y11" s="17">
        <f t="shared" si="4"/>
        <v>13</v>
      </c>
      <c r="Z11" s="28">
        <f t="shared" si="5"/>
        <v>74</v>
      </c>
    </row>
    <row r="12" spans="4:26" x14ac:dyDescent="0.3">
      <c r="D12" s="27" t="s">
        <v>51</v>
      </c>
      <c r="E12" s="17">
        <v>4</v>
      </c>
      <c r="F12" s="17" t="s">
        <v>80</v>
      </c>
      <c r="G12" s="17">
        <v>35</v>
      </c>
      <c r="H12" s="17" t="s">
        <v>82</v>
      </c>
      <c r="I12" s="17">
        <v>40</v>
      </c>
      <c r="J12" s="17" t="s">
        <v>83</v>
      </c>
      <c r="K12" s="17">
        <v>16</v>
      </c>
      <c r="L12" s="17" t="s">
        <v>81</v>
      </c>
      <c r="M12" s="17">
        <f t="shared" si="0"/>
        <v>40</v>
      </c>
      <c r="N12" s="17">
        <f t="shared" si="1"/>
        <v>4</v>
      </c>
      <c r="O12" s="17">
        <f t="shared" si="2"/>
        <v>95</v>
      </c>
      <c r="P12" s="17">
        <v>38</v>
      </c>
      <c r="Q12" s="17" t="s">
        <v>82</v>
      </c>
      <c r="R12" s="17">
        <v>40</v>
      </c>
      <c r="S12" s="17" t="s">
        <v>83</v>
      </c>
      <c r="T12" s="17">
        <v>38</v>
      </c>
      <c r="U12" s="17" t="s">
        <v>82</v>
      </c>
      <c r="V12" s="17">
        <v>26</v>
      </c>
      <c r="W12" s="17" t="s">
        <v>81</v>
      </c>
      <c r="X12" s="17">
        <f t="shared" si="3"/>
        <v>40</v>
      </c>
      <c r="Y12" s="17">
        <f t="shared" si="4"/>
        <v>26</v>
      </c>
      <c r="Z12" s="28">
        <f t="shared" si="5"/>
        <v>142</v>
      </c>
    </row>
    <row r="13" spans="4:26" x14ac:dyDescent="0.3">
      <c r="D13" s="27" t="s">
        <v>41</v>
      </c>
      <c r="E13" s="17">
        <v>4</v>
      </c>
      <c r="F13" s="17" t="s">
        <v>80</v>
      </c>
      <c r="G13" s="17">
        <v>24</v>
      </c>
      <c r="H13" s="17" t="s">
        <v>81</v>
      </c>
      <c r="I13" s="17">
        <v>36</v>
      </c>
      <c r="J13" s="17" t="s">
        <v>82</v>
      </c>
      <c r="K13" s="17">
        <v>17</v>
      </c>
      <c r="L13" s="17" t="s">
        <v>81</v>
      </c>
      <c r="M13" s="17">
        <f t="shared" si="0"/>
        <v>36</v>
      </c>
      <c r="N13" s="17">
        <f t="shared" si="1"/>
        <v>4</v>
      </c>
      <c r="O13" s="17">
        <f t="shared" si="2"/>
        <v>81</v>
      </c>
      <c r="P13" s="17">
        <v>31</v>
      </c>
      <c r="Q13" s="17" t="s">
        <v>82</v>
      </c>
      <c r="R13" s="17">
        <v>31</v>
      </c>
      <c r="S13" s="17" t="s">
        <v>82</v>
      </c>
      <c r="T13" s="17">
        <v>46</v>
      </c>
      <c r="U13" s="17" t="s">
        <v>83</v>
      </c>
      <c r="V13" s="17">
        <v>20</v>
      </c>
      <c r="W13" s="17" t="s">
        <v>81</v>
      </c>
      <c r="X13" s="17">
        <f t="shared" si="3"/>
        <v>46</v>
      </c>
      <c r="Y13" s="17">
        <f t="shared" si="4"/>
        <v>20</v>
      </c>
      <c r="Z13" s="28">
        <f t="shared" si="5"/>
        <v>128</v>
      </c>
    </row>
    <row r="14" spans="4:26" x14ac:dyDescent="0.3">
      <c r="D14" s="27" t="s">
        <v>48</v>
      </c>
      <c r="E14" s="17">
        <v>44</v>
      </c>
      <c r="F14" s="17" t="s">
        <v>83</v>
      </c>
      <c r="G14" s="17">
        <v>14</v>
      </c>
      <c r="H14" s="17" t="s">
        <v>81</v>
      </c>
      <c r="I14" s="17">
        <v>23</v>
      </c>
      <c r="J14" s="17" t="s">
        <v>81</v>
      </c>
      <c r="K14" s="17">
        <v>50</v>
      </c>
      <c r="L14" s="17" t="s">
        <v>83</v>
      </c>
      <c r="M14" s="17">
        <f t="shared" si="0"/>
        <v>50</v>
      </c>
      <c r="N14" s="17">
        <f t="shared" si="1"/>
        <v>14</v>
      </c>
      <c r="O14" s="17">
        <f t="shared" si="2"/>
        <v>131</v>
      </c>
      <c r="P14" s="17">
        <v>29</v>
      </c>
      <c r="Q14" s="17" t="s">
        <v>81</v>
      </c>
      <c r="R14" s="17">
        <v>7</v>
      </c>
      <c r="S14" s="17" t="s">
        <v>80</v>
      </c>
      <c r="T14" s="17">
        <v>38</v>
      </c>
      <c r="U14" s="17" t="s">
        <v>82</v>
      </c>
      <c r="V14" s="17">
        <v>18</v>
      </c>
      <c r="W14" s="17" t="s">
        <v>81</v>
      </c>
      <c r="X14" s="17">
        <f t="shared" si="3"/>
        <v>38</v>
      </c>
      <c r="Y14" s="17">
        <f t="shared" si="4"/>
        <v>7</v>
      </c>
      <c r="Z14" s="28">
        <f t="shared" si="5"/>
        <v>92</v>
      </c>
    </row>
    <row r="15" spans="4:26" x14ac:dyDescent="0.3">
      <c r="D15" s="27" t="s">
        <v>17</v>
      </c>
      <c r="E15" s="17">
        <v>7</v>
      </c>
      <c r="F15" s="17" t="s">
        <v>80</v>
      </c>
      <c r="G15" s="17">
        <v>25</v>
      </c>
      <c r="H15" s="17" t="s">
        <v>81</v>
      </c>
      <c r="I15" s="17">
        <v>38</v>
      </c>
      <c r="J15" s="17" t="s">
        <v>82</v>
      </c>
      <c r="K15" s="17">
        <v>37</v>
      </c>
      <c r="L15" s="17" t="s">
        <v>82</v>
      </c>
      <c r="M15" s="17">
        <f t="shared" si="0"/>
        <v>38</v>
      </c>
      <c r="N15" s="17">
        <f t="shared" si="1"/>
        <v>7</v>
      </c>
      <c r="O15" s="17">
        <f t="shared" si="2"/>
        <v>107</v>
      </c>
      <c r="P15" s="17">
        <v>19</v>
      </c>
      <c r="Q15" s="17" t="s">
        <v>81</v>
      </c>
      <c r="R15" s="17">
        <v>50</v>
      </c>
      <c r="S15" s="17" t="s">
        <v>83</v>
      </c>
      <c r="T15" s="17">
        <v>34</v>
      </c>
      <c r="U15" s="17" t="s">
        <v>82</v>
      </c>
      <c r="V15" s="17">
        <v>24</v>
      </c>
      <c r="W15" s="17" t="s">
        <v>81</v>
      </c>
      <c r="X15" s="17">
        <f t="shared" si="3"/>
        <v>50</v>
      </c>
      <c r="Y15" s="17">
        <f t="shared" si="4"/>
        <v>19</v>
      </c>
      <c r="Z15" s="28">
        <f t="shared" si="5"/>
        <v>127</v>
      </c>
    </row>
    <row r="16" spans="4:26" x14ac:dyDescent="0.3">
      <c r="D16" s="27" t="s">
        <v>20</v>
      </c>
      <c r="E16" s="17">
        <v>22</v>
      </c>
      <c r="F16" s="17" t="s">
        <v>81</v>
      </c>
      <c r="G16" s="17">
        <v>14</v>
      </c>
      <c r="H16" s="17" t="s">
        <v>81</v>
      </c>
      <c r="I16" s="17">
        <v>25</v>
      </c>
      <c r="J16" s="17" t="s">
        <v>81</v>
      </c>
      <c r="K16" s="17">
        <v>46</v>
      </c>
      <c r="L16" s="17" t="s">
        <v>83</v>
      </c>
      <c r="M16" s="17">
        <f t="shared" si="0"/>
        <v>46</v>
      </c>
      <c r="N16" s="17">
        <f t="shared" si="1"/>
        <v>14</v>
      </c>
      <c r="O16" s="17">
        <f t="shared" si="2"/>
        <v>107</v>
      </c>
      <c r="P16" s="17">
        <v>32</v>
      </c>
      <c r="Q16" s="17" t="s">
        <v>82</v>
      </c>
      <c r="R16" s="17">
        <v>49</v>
      </c>
      <c r="S16" s="17" t="s">
        <v>83</v>
      </c>
      <c r="T16" s="17">
        <v>48</v>
      </c>
      <c r="U16" s="17" t="s">
        <v>83</v>
      </c>
      <c r="V16" s="17">
        <v>44</v>
      </c>
      <c r="W16" s="17" t="s">
        <v>83</v>
      </c>
      <c r="X16" s="17">
        <f t="shared" si="3"/>
        <v>49</v>
      </c>
      <c r="Y16" s="17">
        <f t="shared" si="4"/>
        <v>32</v>
      </c>
      <c r="Z16" s="28">
        <f t="shared" si="5"/>
        <v>173</v>
      </c>
    </row>
    <row r="17" spans="4:26" x14ac:dyDescent="0.3">
      <c r="D17" s="27" t="s">
        <v>18</v>
      </c>
      <c r="E17" s="17">
        <v>22</v>
      </c>
      <c r="F17" s="17" t="s">
        <v>81</v>
      </c>
      <c r="G17" s="17">
        <v>24</v>
      </c>
      <c r="H17" s="17" t="s">
        <v>81</v>
      </c>
      <c r="I17" s="17">
        <v>30</v>
      </c>
      <c r="J17" s="17" t="s">
        <v>82</v>
      </c>
      <c r="K17" s="17">
        <v>48</v>
      </c>
      <c r="L17" s="17" t="s">
        <v>83</v>
      </c>
      <c r="M17" s="17">
        <f t="shared" si="0"/>
        <v>48</v>
      </c>
      <c r="N17" s="17">
        <f t="shared" si="1"/>
        <v>22</v>
      </c>
      <c r="O17" s="17">
        <f t="shared" si="2"/>
        <v>124</v>
      </c>
      <c r="P17" s="17">
        <v>13</v>
      </c>
      <c r="Q17" s="17" t="s">
        <v>81</v>
      </c>
      <c r="R17" s="17">
        <v>34</v>
      </c>
      <c r="S17" s="17" t="s">
        <v>82</v>
      </c>
      <c r="T17" s="17">
        <v>10</v>
      </c>
      <c r="U17" s="17" t="s">
        <v>81</v>
      </c>
      <c r="V17" s="17">
        <v>45</v>
      </c>
      <c r="W17" s="17" t="s">
        <v>83</v>
      </c>
      <c r="X17" s="17">
        <f t="shared" si="3"/>
        <v>45</v>
      </c>
      <c r="Y17" s="17">
        <f t="shared" si="4"/>
        <v>10</v>
      </c>
      <c r="Z17" s="28">
        <f t="shared" si="5"/>
        <v>102</v>
      </c>
    </row>
    <row r="18" spans="4:26" x14ac:dyDescent="0.3">
      <c r="D18" s="27" t="s">
        <v>22</v>
      </c>
      <c r="E18" s="17">
        <v>40</v>
      </c>
      <c r="F18" s="17" t="s">
        <v>83</v>
      </c>
      <c r="G18" s="17">
        <v>50</v>
      </c>
      <c r="H18" s="17" t="s">
        <v>83</v>
      </c>
      <c r="I18" s="17">
        <v>27</v>
      </c>
      <c r="J18" s="17" t="s">
        <v>81</v>
      </c>
      <c r="K18" s="17">
        <v>9</v>
      </c>
      <c r="L18" s="17" t="s">
        <v>80</v>
      </c>
      <c r="M18" s="17">
        <f t="shared" si="0"/>
        <v>50</v>
      </c>
      <c r="N18" s="17">
        <f t="shared" si="1"/>
        <v>9</v>
      </c>
      <c r="O18" s="17">
        <f t="shared" si="2"/>
        <v>126</v>
      </c>
      <c r="P18" s="17">
        <v>43</v>
      </c>
      <c r="Q18" s="17" t="s">
        <v>83</v>
      </c>
      <c r="R18" s="17">
        <v>5</v>
      </c>
      <c r="S18" s="17" t="s">
        <v>80</v>
      </c>
      <c r="T18" s="17">
        <v>7</v>
      </c>
      <c r="U18" s="17" t="s">
        <v>80</v>
      </c>
      <c r="V18" s="17">
        <v>40</v>
      </c>
      <c r="W18" s="17" t="s">
        <v>83</v>
      </c>
      <c r="X18" s="17">
        <f t="shared" si="3"/>
        <v>43</v>
      </c>
      <c r="Y18" s="17">
        <f t="shared" si="4"/>
        <v>5</v>
      </c>
      <c r="Z18" s="28">
        <f t="shared" si="5"/>
        <v>95</v>
      </c>
    </row>
    <row r="19" spans="4:26" x14ac:dyDescent="0.3">
      <c r="D19" s="27" t="s">
        <v>49</v>
      </c>
      <c r="E19" s="17">
        <v>50</v>
      </c>
      <c r="F19" s="17" t="s">
        <v>83</v>
      </c>
      <c r="G19" s="17">
        <v>30</v>
      </c>
      <c r="H19" s="17" t="s">
        <v>82</v>
      </c>
      <c r="I19" s="17">
        <v>41</v>
      </c>
      <c r="J19" s="17" t="s">
        <v>83</v>
      </c>
      <c r="K19" s="17">
        <v>43</v>
      </c>
      <c r="L19" s="17" t="s">
        <v>83</v>
      </c>
      <c r="M19" s="17">
        <f t="shared" si="0"/>
        <v>50</v>
      </c>
      <c r="N19" s="17">
        <f t="shared" si="1"/>
        <v>30</v>
      </c>
      <c r="O19" s="17">
        <f t="shared" si="2"/>
        <v>164</v>
      </c>
      <c r="P19" s="17">
        <v>12</v>
      </c>
      <c r="Q19" s="17" t="s">
        <v>81</v>
      </c>
      <c r="R19" s="17">
        <v>49</v>
      </c>
      <c r="S19" s="17" t="s">
        <v>83</v>
      </c>
      <c r="T19" s="17">
        <v>8</v>
      </c>
      <c r="U19" s="17" t="s">
        <v>80</v>
      </c>
      <c r="V19" s="17">
        <v>5</v>
      </c>
      <c r="W19" s="17" t="s">
        <v>80</v>
      </c>
      <c r="X19" s="17">
        <f t="shared" si="3"/>
        <v>49</v>
      </c>
      <c r="Y19" s="17">
        <f t="shared" si="4"/>
        <v>5</v>
      </c>
      <c r="Z19" s="28">
        <f t="shared" si="5"/>
        <v>74</v>
      </c>
    </row>
    <row r="20" spans="4:26" x14ac:dyDescent="0.3">
      <c r="D20" s="27" t="s">
        <v>19</v>
      </c>
      <c r="E20" s="17">
        <v>33</v>
      </c>
      <c r="F20" s="17" t="s">
        <v>82</v>
      </c>
      <c r="G20" s="17">
        <v>28</v>
      </c>
      <c r="H20" s="17" t="s">
        <v>81</v>
      </c>
      <c r="I20" s="17">
        <v>24</v>
      </c>
      <c r="J20" s="17" t="s">
        <v>81</v>
      </c>
      <c r="K20" s="17">
        <v>47</v>
      </c>
      <c r="L20" s="17" t="s">
        <v>83</v>
      </c>
      <c r="M20" s="17">
        <f t="shared" si="0"/>
        <v>47</v>
      </c>
      <c r="N20" s="17">
        <f t="shared" si="1"/>
        <v>24</v>
      </c>
      <c r="O20" s="17">
        <f t="shared" si="2"/>
        <v>132</v>
      </c>
      <c r="P20" s="17">
        <v>45</v>
      </c>
      <c r="Q20" s="17" t="s">
        <v>83</v>
      </c>
      <c r="R20" s="17">
        <v>18</v>
      </c>
      <c r="S20" s="17" t="s">
        <v>81</v>
      </c>
      <c r="T20" s="17">
        <v>37</v>
      </c>
      <c r="U20" s="17" t="s">
        <v>82</v>
      </c>
      <c r="V20" s="17">
        <v>19</v>
      </c>
      <c r="W20" s="17" t="s">
        <v>81</v>
      </c>
      <c r="X20" s="17">
        <f t="shared" si="3"/>
        <v>45</v>
      </c>
      <c r="Y20" s="17">
        <f t="shared" si="4"/>
        <v>18</v>
      </c>
      <c r="Z20" s="28">
        <f t="shared" si="5"/>
        <v>119</v>
      </c>
    </row>
    <row r="21" spans="4:26" x14ac:dyDescent="0.3">
      <c r="D21" s="27" t="s">
        <v>65</v>
      </c>
      <c r="E21" s="17">
        <v>30</v>
      </c>
      <c r="F21" s="17" t="s">
        <v>82</v>
      </c>
      <c r="G21" s="17">
        <v>26</v>
      </c>
      <c r="H21" s="17" t="s">
        <v>81</v>
      </c>
      <c r="I21" s="17">
        <v>45</v>
      </c>
      <c r="J21" s="17" t="s">
        <v>83</v>
      </c>
      <c r="K21" s="17">
        <v>22</v>
      </c>
      <c r="L21" s="17" t="s">
        <v>81</v>
      </c>
      <c r="M21" s="17">
        <f t="shared" si="0"/>
        <v>45</v>
      </c>
      <c r="N21" s="17">
        <f t="shared" si="1"/>
        <v>22</v>
      </c>
      <c r="O21" s="17">
        <f t="shared" si="2"/>
        <v>123</v>
      </c>
      <c r="P21" s="17">
        <v>37</v>
      </c>
      <c r="Q21" s="17" t="s">
        <v>82</v>
      </c>
      <c r="R21" s="17">
        <v>29</v>
      </c>
      <c r="S21" s="17" t="s">
        <v>81</v>
      </c>
      <c r="T21" s="17">
        <v>26</v>
      </c>
      <c r="U21" s="17" t="s">
        <v>81</v>
      </c>
      <c r="V21" s="17">
        <v>48</v>
      </c>
      <c r="W21" s="17" t="s">
        <v>83</v>
      </c>
      <c r="X21" s="17">
        <f t="shared" si="3"/>
        <v>48</v>
      </c>
      <c r="Y21" s="17">
        <f t="shared" si="4"/>
        <v>26</v>
      </c>
      <c r="Z21" s="28">
        <f t="shared" si="5"/>
        <v>140</v>
      </c>
    </row>
    <row r="22" spans="4:26" x14ac:dyDescent="0.3">
      <c r="D22" s="27" t="s">
        <v>66</v>
      </c>
      <c r="E22" s="17">
        <v>34</v>
      </c>
      <c r="F22" s="17" t="s">
        <v>82</v>
      </c>
      <c r="G22" s="17">
        <v>2</v>
      </c>
      <c r="H22" s="17" t="s">
        <v>80</v>
      </c>
      <c r="I22" s="17">
        <v>38</v>
      </c>
      <c r="J22" s="17" t="s">
        <v>82</v>
      </c>
      <c r="K22" s="17">
        <v>36</v>
      </c>
      <c r="L22" s="17" t="s">
        <v>82</v>
      </c>
      <c r="M22" s="17">
        <f t="shared" si="0"/>
        <v>38</v>
      </c>
      <c r="N22" s="17">
        <f t="shared" si="1"/>
        <v>2</v>
      </c>
      <c r="O22" s="17">
        <f t="shared" si="2"/>
        <v>110</v>
      </c>
      <c r="P22" s="17">
        <v>19</v>
      </c>
      <c r="Q22" s="17" t="s">
        <v>81</v>
      </c>
      <c r="R22" s="17">
        <v>47</v>
      </c>
      <c r="S22" s="17" t="s">
        <v>83</v>
      </c>
      <c r="T22" s="17">
        <v>42</v>
      </c>
      <c r="U22" s="17" t="s">
        <v>83</v>
      </c>
      <c r="V22" s="17">
        <v>18</v>
      </c>
      <c r="W22" s="17" t="s">
        <v>81</v>
      </c>
      <c r="X22" s="17">
        <f t="shared" si="3"/>
        <v>47</v>
      </c>
      <c r="Y22" s="17">
        <f t="shared" si="4"/>
        <v>18</v>
      </c>
      <c r="Z22" s="28">
        <f t="shared" si="5"/>
        <v>126</v>
      </c>
    </row>
    <row r="23" spans="4:26" x14ac:dyDescent="0.3">
      <c r="D23" s="27" t="s">
        <v>47</v>
      </c>
      <c r="E23" s="17">
        <v>29</v>
      </c>
      <c r="F23" s="17" t="s">
        <v>81</v>
      </c>
      <c r="G23" s="17">
        <v>29</v>
      </c>
      <c r="H23" s="17" t="s">
        <v>81</v>
      </c>
      <c r="I23" s="17">
        <v>31</v>
      </c>
      <c r="J23" s="17" t="s">
        <v>82</v>
      </c>
      <c r="K23" s="17">
        <v>13</v>
      </c>
      <c r="L23" s="17" t="s">
        <v>81</v>
      </c>
      <c r="M23" s="17">
        <f t="shared" si="0"/>
        <v>31</v>
      </c>
      <c r="N23" s="17">
        <f t="shared" si="1"/>
        <v>13</v>
      </c>
      <c r="O23" s="17">
        <f t="shared" si="2"/>
        <v>102</v>
      </c>
      <c r="P23" s="17">
        <v>0</v>
      </c>
      <c r="Q23" s="17" t="s">
        <v>80</v>
      </c>
      <c r="R23" s="17">
        <v>36</v>
      </c>
      <c r="S23" s="17" t="s">
        <v>82</v>
      </c>
      <c r="T23" s="17">
        <v>32</v>
      </c>
      <c r="U23" s="17" t="s">
        <v>82</v>
      </c>
      <c r="V23" s="17">
        <v>43</v>
      </c>
      <c r="W23" s="17" t="s">
        <v>83</v>
      </c>
      <c r="X23" s="17">
        <f t="shared" si="3"/>
        <v>43</v>
      </c>
      <c r="Y23" s="17">
        <f t="shared" si="4"/>
        <v>0</v>
      </c>
      <c r="Z23" s="28">
        <f t="shared" si="5"/>
        <v>111</v>
      </c>
    </row>
    <row r="24" spans="4:26" x14ac:dyDescent="0.3">
      <c r="D24" s="27" t="s">
        <v>13</v>
      </c>
      <c r="E24" s="17">
        <v>30</v>
      </c>
      <c r="F24" s="17" t="s">
        <v>82</v>
      </c>
      <c r="G24" s="17">
        <v>42</v>
      </c>
      <c r="H24" s="17" t="s">
        <v>83</v>
      </c>
      <c r="I24" s="17">
        <v>22</v>
      </c>
      <c r="J24" s="17" t="s">
        <v>81</v>
      </c>
      <c r="K24" s="17">
        <v>4</v>
      </c>
      <c r="L24" s="17" t="s">
        <v>80</v>
      </c>
      <c r="M24" s="17">
        <f t="shared" si="0"/>
        <v>42</v>
      </c>
      <c r="N24" s="17">
        <f t="shared" si="1"/>
        <v>4</v>
      </c>
      <c r="O24" s="17">
        <f t="shared" si="2"/>
        <v>98</v>
      </c>
      <c r="P24" s="17">
        <v>11</v>
      </c>
      <c r="Q24" s="17" t="s">
        <v>81</v>
      </c>
      <c r="R24" s="17">
        <v>22</v>
      </c>
      <c r="S24" s="17" t="s">
        <v>81</v>
      </c>
      <c r="T24" s="17">
        <v>44</v>
      </c>
      <c r="U24" s="17" t="s">
        <v>83</v>
      </c>
      <c r="V24" s="17">
        <v>38</v>
      </c>
      <c r="W24" s="17" t="s">
        <v>82</v>
      </c>
      <c r="X24" s="17">
        <f t="shared" si="3"/>
        <v>44</v>
      </c>
      <c r="Y24" s="17">
        <f t="shared" si="4"/>
        <v>11</v>
      </c>
      <c r="Z24" s="28">
        <f t="shared" si="5"/>
        <v>115</v>
      </c>
    </row>
    <row r="25" spans="4:26" x14ac:dyDescent="0.3">
      <c r="D25" s="27" t="s">
        <v>21</v>
      </c>
      <c r="E25" s="17">
        <v>34</v>
      </c>
      <c r="F25" s="17" t="s">
        <v>82</v>
      </c>
      <c r="G25" s="17">
        <v>37</v>
      </c>
      <c r="H25" s="17" t="s">
        <v>82</v>
      </c>
      <c r="I25" s="17">
        <v>47</v>
      </c>
      <c r="J25" s="17" t="s">
        <v>83</v>
      </c>
      <c r="K25" s="17">
        <v>44</v>
      </c>
      <c r="L25" s="17" t="s">
        <v>83</v>
      </c>
      <c r="M25" s="17">
        <f t="shared" si="0"/>
        <v>47</v>
      </c>
      <c r="N25" s="17">
        <f t="shared" si="1"/>
        <v>34</v>
      </c>
      <c r="O25" s="17">
        <f t="shared" si="2"/>
        <v>162</v>
      </c>
      <c r="P25" s="17">
        <v>7</v>
      </c>
      <c r="Q25" s="17" t="s">
        <v>80</v>
      </c>
      <c r="R25" s="17">
        <v>49</v>
      </c>
      <c r="S25" s="17" t="s">
        <v>83</v>
      </c>
      <c r="T25" s="17">
        <v>25</v>
      </c>
      <c r="U25" s="17" t="s">
        <v>81</v>
      </c>
      <c r="V25" s="17">
        <v>34</v>
      </c>
      <c r="W25" s="17" t="s">
        <v>82</v>
      </c>
      <c r="X25" s="17">
        <f t="shared" si="3"/>
        <v>49</v>
      </c>
      <c r="Y25" s="17">
        <f t="shared" si="4"/>
        <v>7</v>
      </c>
      <c r="Z25" s="28">
        <f t="shared" si="5"/>
        <v>115</v>
      </c>
    </row>
    <row r="26" spans="4:26" x14ac:dyDescent="0.3">
      <c r="D26" s="27" t="s">
        <v>16</v>
      </c>
      <c r="E26" s="17">
        <v>21</v>
      </c>
      <c r="F26" s="17" t="s">
        <v>81</v>
      </c>
      <c r="G26" s="17">
        <v>35</v>
      </c>
      <c r="H26" s="17" t="s">
        <v>82</v>
      </c>
      <c r="I26" s="17">
        <v>29</v>
      </c>
      <c r="J26" s="17" t="s">
        <v>81</v>
      </c>
      <c r="K26" s="17">
        <v>46</v>
      </c>
      <c r="L26" s="17" t="s">
        <v>83</v>
      </c>
      <c r="M26" s="17">
        <f t="shared" si="0"/>
        <v>46</v>
      </c>
      <c r="N26" s="17">
        <f t="shared" si="1"/>
        <v>21</v>
      </c>
      <c r="O26" s="17">
        <f t="shared" si="2"/>
        <v>131</v>
      </c>
      <c r="P26" s="17">
        <v>49</v>
      </c>
      <c r="Q26" s="17" t="s">
        <v>83</v>
      </c>
      <c r="R26" s="17">
        <v>0</v>
      </c>
      <c r="S26" s="17" t="s">
        <v>80</v>
      </c>
      <c r="T26" s="17">
        <v>6</v>
      </c>
      <c r="U26" s="17" t="s">
        <v>80</v>
      </c>
      <c r="V26" s="17">
        <v>27</v>
      </c>
      <c r="W26" s="17" t="s">
        <v>81</v>
      </c>
      <c r="X26" s="17">
        <f t="shared" si="3"/>
        <v>49</v>
      </c>
      <c r="Y26" s="17">
        <f t="shared" si="4"/>
        <v>0</v>
      </c>
      <c r="Z26" s="28">
        <f t="shared" si="5"/>
        <v>82</v>
      </c>
    </row>
    <row r="27" spans="4:26" x14ac:dyDescent="0.3">
      <c r="D27" s="27" t="s">
        <v>25</v>
      </c>
      <c r="E27" s="17">
        <v>44</v>
      </c>
      <c r="F27" s="17" t="s">
        <v>83</v>
      </c>
      <c r="G27" s="17">
        <v>29</v>
      </c>
      <c r="H27" s="17" t="s">
        <v>81</v>
      </c>
      <c r="I27" s="17">
        <v>4</v>
      </c>
      <c r="J27" s="17" t="s">
        <v>80</v>
      </c>
      <c r="K27" s="17">
        <v>34</v>
      </c>
      <c r="L27" s="17" t="s">
        <v>82</v>
      </c>
      <c r="M27" s="17">
        <f t="shared" si="0"/>
        <v>44</v>
      </c>
      <c r="N27" s="17">
        <f t="shared" si="1"/>
        <v>4</v>
      </c>
      <c r="O27" s="17">
        <f t="shared" si="2"/>
        <v>111</v>
      </c>
      <c r="P27" s="17">
        <v>13</v>
      </c>
      <c r="Q27" s="17" t="s">
        <v>81</v>
      </c>
      <c r="R27" s="17">
        <v>31</v>
      </c>
      <c r="S27" s="17" t="s">
        <v>82</v>
      </c>
      <c r="T27" s="17">
        <v>40</v>
      </c>
      <c r="U27" s="17" t="s">
        <v>83</v>
      </c>
      <c r="V27" s="17">
        <v>9</v>
      </c>
      <c r="W27" s="17" t="s">
        <v>80</v>
      </c>
      <c r="X27" s="17">
        <f t="shared" si="3"/>
        <v>40</v>
      </c>
      <c r="Y27" s="17">
        <f t="shared" si="4"/>
        <v>9</v>
      </c>
      <c r="Z27" s="28">
        <f t="shared" si="5"/>
        <v>93</v>
      </c>
    </row>
    <row r="28" spans="4:26" x14ac:dyDescent="0.3">
      <c r="D28" s="27" t="s">
        <v>23</v>
      </c>
      <c r="E28" s="17">
        <v>27</v>
      </c>
      <c r="F28" s="17" t="s">
        <v>81</v>
      </c>
      <c r="G28" s="17">
        <v>23</v>
      </c>
      <c r="H28" s="17" t="s">
        <v>81</v>
      </c>
      <c r="I28" s="17">
        <v>27</v>
      </c>
      <c r="J28" s="17" t="s">
        <v>81</v>
      </c>
      <c r="K28" s="17">
        <v>28</v>
      </c>
      <c r="L28" s="17" t="s">
        <v>81</v>
      </c>
      <c r="M28" s="17">
        <f t="shared" si="0"/>
        <v>28</v>
      </c>
      <c r="N28" s="17">
        <f t="shared" si="1"/>
        <v>23</v>
      </c>
      <c r="O28" s="17">
        <f t="shared" si="2"/>
        <v>105</v>
      </c>
      <c r="P28" s="17">
        <v>16</v>
      </c>
      <c r="Q28" s="17" t="s">
        <v>81</v>
      </c>
      <c r="R28" s="17">
        <v>36</v>
      </c>
      <c r="S28" s="17" t="s">
        <v>82</v>
      </c>
      <c r="T28" s="17">
        <v>44</v>
      </c>
      <c r="U28" s="17" t="s">
        <v>83</v>
      </c>
      <c r="V28" s="17">
        <v>0</v>
      </c>
      <c r="W28" s="17" t="s">
        <v>80</v>
      </c>
      <c r="X28" s="17">
        <f t="shared" si="3"/>
        <v>44</v>
      </c>
      <c r="Y28" s="17">
        <f t="shared" si="4"/>
        <v>0</v>
      </c>
      <c r="Z28" s="28">
        <f t="shared" si="5"/>
        <v>96</v>
      </c>
    </row>
    <row r="29" spans="4:26" x14ac:dyDescent="0.3">
      <c r="D29" s="27" t="s">
        <v>45</v>
      </c>
      <c r="E29" s="17">
        <v>27</v>
      </c>
      <c r="F29" s="17" t="s">
        <v>81</v>
      </c>
      <c r="G29" s="17">
        <v>40</v>
      </c>
      <c r="H29" s="17" t="s">
        <v>83</v>
      </c>
      <c r="I29" s="17">
        <v>16</v>
      </c>
      <c r="J29" s="17" t="s">
        <v>81</v>
      </c>
      <c r="K29" s="17">
        <v>1</v>
      </c>
      <c r="L29" s="17" t="s">
        <v>80</v>
      </c>
      <c r="M29" s="17">
        <f t="shared" si="0"/>
        <v>40</v>
      </c>
      <c r="N29" s="17">
        <f t="shared" si="1"/>
        <v>1</v>
      </c>
      <c r="O29" s="17">
        <f t="shared" si="2"/>
        <v>84</v>
      </c>
      <c r="P29" s="17">
        <v>25</v>
      </c>
      <c r="Q29" s="17" t="s">
        <v>81</v>
      </c>
      <c r="R29" s="17">
        <v>48</v>
      </c>
      <c r="S29" s="17" t="s">
        <v>83</v>
      </c>
      <c r="T29" s="17">
        <v>7</v>
      </c>
      <c r="U29" s="17" t="s">
        <v>80</v>
      </c>
      <c r="V29" s="17">
        <v>1</v>
      </c>
      <c r="W29" s="17" t="s">
        <v>80</v>
      </c>
      <c r="X29" s="17">
        <f t="shared" si="3"/>
        <v>48</v>
      </c>
      <c r="Y29" s="17">
        <f t="shared" si="4"/>
        <v>1</v>
      </c>
      <c r="Z29" s="28">
        <f t="shared" si="5"/>
        <v>81</v>
      </c>
    </row>
    <row r="30" spans="4:26" x14ac:dyDescent="0.3">
      <c r="D30" s="27" t="s">
        <v>67</v>
      </c>
      <c r="E30" s="17">
        <v>36</v>
      </c>
      <c r="F30" s="17" t="s">
        <v>82</v>
      </c>
      <c r="G30" s="17">
        <v>26</v>
      </c>
      <c r="H30" s="17" t="s">
        <v>81</v>
      </c>
      <c r="I30" s="17">
        <v>1</v>
      </c>
      <c r="J30" s="17" t="s">
        <v>80</v>
      </c>
      <c r="K30" s="17">
        <v>36</v>
      </c>
      <c r="L30" s="17" t="s">
        <v>82</v>
      </c>
      <c r="M30" s="17">
        <f t="shared" si="0"/>
        <v>36</v>
      </c>
      <c r="N30" s="17">
        <f t="shared" si="1"/>
        <v>1</v>
      </c>
      <c r="O30" s="17">
        <f t="shared" si="2"/>
        <v>99</v>
      </c>
      <c r="P30" s="17">
        <v>20</v>
      </c>
      <c r="Q30" s="17" t="s">
        <v>81</v>
      </c>
      <c r="R30" s="17">
        <v>7</v>
      </c>
      <c r="S30" s="17" t="s">
        <v>80</v>
      </c>
      <c r="T30" s="17">
        <v>43</v>
      </c>
      <c r="U30" s="17" t="s">
        <v>83</v>
      </c>
      <c r="V30" s="17">
        <v>26</v>
      </c>
      <c r="W30" s="17" t="s">
        <v>81</v>
      </c>
      <c r="X30" s="17">
        <f t="shared" si="3"/>
        <v>43</v>
      </c>
      <c r="Y30" s="17">
        <f t="shared" si="4"/>
        <v>7</v>
      </c>
      <c r="Z30" s="28">
        <f t="shared" si="5"/>
        <v>96</v>
      </c>
    </row>
    <row r="31" spans="4:26" x14ac:dyDescent="0.3">
      <c r="D31" s="27" t="s">
        <v>42</v>
      </c>
      <c r="E31" s="17">
        <v>2</v>
      </c>
      <c r="F31" s="17" t="s">
        <v>80</v>
      </c>
      <c r="G31" s="17">
        <v>20</v>
      </c>
      <c r="H31" s="17" t="s">
        <v>81</v>
      </c>
      <c r="I31" s="17">
        <v>5</v>
      </c>
      <c r="J31" s="17" t="s">
        <v>80</v>
      </c>
      <c r="K31" s="17">
        <v>10</v>
      </c>
      <c r="L31" s="17" t="s">
        <v>81</v>
      </c>
      <c r="M31" s="17">
        <f t="shared" si="0"/>
        <v>20</v>
      </c>
      <c r="N31" s="17">
        <f t="shared" si="1"/>
        <v>2</v>
      </c>
      <c r="O31" s="17">
        <f t="shared" si="2"/>
        <v>37</v>
      </c>
      <c r="P31" s="17">
        <v>47</v>
      </c>
      <c r="Q31" s="17" t="s">
        <v>83</v>
      </c>
      <c r="R31" s="17">
        <v>13</v>
      </c>
      <c r="S31" s="17" t="s">
        <v>81</v>
      </c>
      <c r="T31" s="17">
        <v>14</v>
      </c>
      <c r="U31" s="17" t="s">
        <v>81</v>
      </c>
      <c r="V31" s="17">
        <v>46</v>
      </c>
      <c r="W31" s="17" t="s">
        <v>83</v>
      </c>
      <c r="X31" s="17">
        <f t="shared" si="3"/>
        <v>47</v>
      </c>
      <c r="Y31" s="17">
        <f t="shared" si="4"/>
        <v>13</v>
      </c>
      <c r="Z31" s="28">
        <f t="shared" si="5"/>
        <v>120</v>
      </c>
    </row>
    <row r="32" spans="4:26" x14ac:dyDescent="0.3">
      <c r="D32" s="27" t="s">
        <v>46</v>
      </c>
      <c r="E32" s="17">
        <v>29</v>
      </c>
      <c r="F32" s="17" t="s">
        <v>81</v>
      </c>
      <c r="G32" s="17">
        <v>21</v>
      </c>
      <c r="H32" s="17" t="s">
        <v>81</v>
      </c>
      <c r="I32" s="17">
        <v>38</v>
      </c>
      <c r="J32" s="17" t="s">
        <v>82</v>
      </c>
      <c r="K32" s="17">
        <v>18</v>
      </c>
      <c r="L32" s="17" t="s">
        <v>81</v>
      </c>
      <c r="M32" s="17">
        <f t="shared" si="0"/>
        <v>38</v>
      </c>
      <c r="N32" s="17">
        <f t="shared" si="1"/>
        <v>18</v>
      </c>
      <c r="O32" s="17">
        <f t="shared" si="2"/>
        <v>106</v>
      </c>
      <c r="P32" s="17">
        <v>34</v>
      </c>
      <c r="Q32" s="17" t="s">
        <v>82</v>
      </c>
      <c r="R32" s="17">
        <v>23</v>
      </c>
      <c r="S32" s="17" t="s">
        <v>81</v>
      </c>
      <c r="T32" s="17">
        <v>18</v>
      </c>
      <c r="U32" s="17" t="s">
        <v>81</v>
      </c>
      <c r="V32" s="17">
        <v>12</v>
      </c>
      <c r="W32" s="17" t="s">
        <v>81</v>
      </c>
      <c r="X32" s="17">
        <f t="shared" si="3"/>
        <v>34</v>
      </c>
      <c r="Y32" s="17">
        <f t="shared" si="4"/>
        <v>12</v>
      </c>
      <c r="Z32" s="28">
        <f t="shared" si="5"/>
        <v>87</v>
      </c>
    </row>
    <row r="33" spans="4:26" x14ac:dyDescent="0.3">
      <c r="D33" s="27" t="s">
        <v>15</v>
      </c>
      <c r="E33" s="17">
        <v>33</v>
      </c>
      <c r="F33" s="17" t="s">
        <v>82</v>
      </c>
      <c r="G33" s="17">
        <v>15</v>
      </c>
      <c r="H33" s="17" t="s">
        <v>81</v>
      </c>
      <c r="I33" s="17">
        <v>42</v>
      </c>
      <c r="J33" s="17" t="s">
        <v>83</v>
      </c>
      <c r="K33" s="17">
        <v>3</v>
      </c>
      <c r="L33" s="17" t="s">
        <v>80</v>
      </c>
      <c r="M33" s="17">
        <f t="shared" si="0"/>
        <v>42</v>
      </c>
      <c r="N33" s="17">
        <f t="shared" si="1"/>
        <v>3</v>
      </c>
      <c r="O33" s="17">
        <f t="shared" si="2"/>
        <v>93</v>
      </c>
      <c r="P33" s="17">
        <v>30</v>
      </c>
      <c r="Q33" s="17" t="s">
        <v>82</v>
      </c>
      <c r="R33" s="17">
        <v>36</v>
      </c>
      <c r="S33" s="17" t="s">
        <v>82</v>
      </c>
      <c r="T33" s="17">
        <v>47</v>
      </c>
      <c r="U33" s="17" t="s">
        <v>83</v>
      </c>
      <c r="V33" s="17">
        <v>1</v>
      </c>
      <c r="W33" s="17" t="s">
        <v>80</v>
      </c>
      <c r="X33" s="17">
        <f t="shared" si="3"/>
        <v>47</v>
      </c>
      <c r="Y33" s="17">
        <f t="shared" si="4"/>
        <v>1</v>
      </c>
      <c r="Z33" s="28">
        <f t="shared" si="5"/>
        <v>114</v>
      </c>
    </row>
    <row r="34" spans="4:26" x14ac:dyDescent="0.3">
      <c r="D34" s="29" t="s">
        <v>44</v>
      </c>
      <c r="E34" s="30">
        <v>17</v>
      </c>
      <c r="F34" s="30" t="s">
        <v>81</v>
      </c>
      <c r="G34" s="30">
        <v>12</v>
      </c>
      <c r="H34" s="30" t="s">
        <v>81</v>
      </c>
      <c r="I34" s="30">
        <v>27</v>
      </c>
      <c r="J34" s="30" t="s">
        <v>81</v>
      </c>
      <c r="K34" s="30">
        <v>44</v>
      </c>
      <c r="L34" s="30" t="s">
        <v>83</v>
      </c>
      <c r="M34" s="30">
        <f t="shared" si="0"/>
        <v>44</v>
      </c>
      <c r="N34" s="30">
        <f t="shared" si="1"/>
        <v>12</v>
      </c>
      <c r="O34" s="30">
        <f t="shared" si="2"/>
        <v>100</v>
      </c>
      <c r="P34" s="30">
        <v>23</v>
      </c>
      <c r="Q34" s="30" t="s">
        <v>81</v>
      </c>
      <c r="R34" s="30">
        <v>42</v>
      </c>
      <c r="S34" s="30" t="s">
        <v>83</v>
      </c>
      <c r="T34" s="30">
        <v>22</v>
      </c>
      <c r="U34" s="30" t="s">
        <v>81</v>
      </c>
      <c r="V34" s="30">
        <v>17</v>
      </c>
      <c r="W34" s="30" t="s">
        <v>81</v>
      </c>
      <c r="X34" s="30">
        <f t="shared" si="3"/>
        <v>42</v>
      </c>
      <c r="Y34" s="30">
        <f t="shared" si="4"/>
        <v>17</v>
      </c>
      <c r="Z34" s="31">
        <f t="shared" si="5"/>
        <v>104</v>
      </c>
    </row>
    <row r="48" spans="4:26" x14ac:dyDescent="0.3">
      <c r="D48" s="24" t="s">
        <v>274</v>
      </c>
      <c r="E48" s="25" t="s">
        <v>280</v>
      </c>
      <c r="F48" s="25" t="s">
        <v>281</v>
      </c>
      <c r="G48" s="25" t="s">
        <v>282</v>
      </c>
      <c r="H48" s="25" t="s">
        <v>283</v>
      </c>
      <c r="I48" s="25" t="s">
        <v>317</v>
      </c>
      <c r="J48" s="25" t="s">
        <v>316</v>
      </c>
      <c r="K48" s="25" t="s">
        <v>284</v>
      </c>
      <c r="L48" s="25" t="s">
        <v>285</v>
      </c>
      <c r="M48" s="25" t="s">
        <v>286</v>
      </c>
      <c r="N48" s="25" t="s">
        <v>287</v>
      </c>
      <c r="O48" s="25" t="s">
        <v>278</v>
      </c>
      <c r="P48" s="25" t="s">
        <v>288</v>
      </c>
      <c r="Q48" s="25" t="s">
        <v>289</v>
      </c>
      <c r="R48" s="25" t="s">
        <v>290</v>
      </c>
      <c r="S48" s="25" t="s">
        <v>291</v>
      </c>
      <c r="T48" s="25" t="s">
        <v>318</v>
      </c>
      <c r="U48" s="25" t="s">
        <v>319</v>
      </c>
      <c r="V48" s="25" t="s">
        <v>292</v>
      </c>
      <c r="W48" s="25" t="s">
        <v>293</v>
      </c>
      <c r="X48" s="25" t="s">
        <v>294</v>
      </c>
      <c r="Y48" s="25" t="s">
        <v>295</v>
      </c>
      <c r="Z48" s="26" t="s">
        <v>296</v>
      </c>
    </row>
    <row r="49" spans="4:26" x14ac:dyDescent="0.3">
      <c r="D49" s="27" t="s">
        <v>115</v>
      </c>
      <c r="E49" s="17">
        <v>1</v>
      </c>
      <c r="F49" s="17" t="s">
        <v>80</v>
      </c>
      <c r="G49" s="17">
        <v>13</v>
      </c>
      <c r="H49" s="17" t="s">
        <v>81</v>
      </c>
      <c r="I49" s="17">
        <v>12</v>
      </c>
      <c r="J49" s="17" t="s">
        <v>81</v>
      </c>
      <c r="K49" s="17">
        <v>26</v>
      </c>
      <c r="L49" s="17" t="s">
        <v>81</v>
      </c>
      <c r="M49" s="17">
        <f>MAX(E49,G49,I49,K49)</f>
        <v>26</v>
      </c>
      <c r="N49" s="17">
        <f>MIN(E49,G49,I49,K49)</f>
        <v>1</v>
      </c>
      <c r="O49" s="17">
        <f>SUM(E49,G49,I49,K49)</f>
        <v>52</v>
      </c>
      <c r="P49" s="17">
        <v>41</v>
      </c>
      <c r="Q49" s="17" t="s">
        <v>83</v>
      </c>
      <c r="R49" s="17">
        <v>23</v>
      </c>
      <c r="S49" s="17" t="s">
        <v>81</v>
      </c>
      <c r="T49" s="17">
        <v>30</v>
      </c>
      <c r="U49" s="17" t="s">
        <v>82</v>
      </c>
      <c r="V49" s="17">
        <v>30</v>
      </c>
      <c r="W49" s="17" t="s">
        <v>82</v>
      </c>
      <c r="X49" s="17">
        <f>MAX(P49,R49,T49,V49)</f>
        <v>41</v>
      </c>
      <c r="Y49" s="17">
        <f>MIN(P49,R49,T49,V49)</f>
        <v>23</v>
      </c>
      <c r="Z49" s="28">
        <f>SUM(P49,R49,T49,V49)</f>
        <v>124</v>
      </c>
    </row>
    <row r="50" spans="4:26" x14ac:dyDescent="0.3">
      <c r="D50" s="27" t="s">
        <v>117</v>
      </c>
      <c r="E50" s="17">
        <v>27</v>
      </c>
      <c r="F50" s="17" t="s">
        <v>81</v>
      </c>
      <c r="G50" s="17">
        <v>22</v>
      </c>
      <c r="H50" s="17" t="s">
        <v>81</v>
      </c>
      <c r="I50" s="17">
        <v>49</v>
      </c>
      <c r="J50" s="17" t="s">
        <v>83</v>
      </c>
      <c r="K50" s="17">
        <v>24</v>
      </c>
      <c r="L50" s="17" t="s">
        <v>81</v>
      </c>
      <c r="M50" s="17">
        <f t="shared" ref="M50:M78" si="6">MAX(E50,G50,I50,K50)</f>
        <v>49</v>
      </c>
      <c r="N50" s="17">
        <f t="shared" ref="N50:N78" si="7">MIN(E50,G50,I50,K50)</f>
        <v>22</v>
      </c>
      <c r="O50" s="17">
        <f t="shared" ref="O50:O78" si="8">SUM(E50,G50,I50,K50)</f>
        <v>122</v>
      </c>
      <c r="P50" s="17">
        <v>3</v>
      </c>
      <c r="Q50" s="17" t="s">
        <v>80</v>
      </c>
      <c r="R50" s="17">
        <v>13</v>
      </c>
      <c r="S50" s="17" t="s">
        <v>81</v>
      </c>
      <c r="T50" s="17">
        <v>13</v>
      </c>
      <c r="U50" s="17" t="s">
        <v>81</v>
      </c>
      <c r="V50" s="17">
        <v>13</v>
      </c>
      <c r="W50" s="17" t="s">
        <v>81</v>
      </c>
      <c r="X50" s="17">
        <f t="shared" ref="X50:X78" si="9">MAX(P50,R50,T50,V50)</f>
        <v>13</v>
      </c>
      <c r="Y50" s="17">
        <f t="shared" ref="Y50:Y78" si="10">MIN(P50,R50,T50,V50)</f>
        <v>3</v>
      </c>
      <c r="Z50" s="28">
        <f t="shared" ref="Z50:Z78" si="11">SUM(P50,R50,T50,V50)</f>
        <v>42</v>
      </c>
    </row>
    <row r="51" spans="4:26" x14ac:dyDescent="0.3">
      <c r="D51" s="27" t="s">
        <v>92</v>
      </c>
      <c r="E51" s="17">
        <v>10</v>
      </c>
      <c r="F51" s="17" t="s">
        <v>81</v>
      </c>
      <c r="G51" s="17">
        <v>15</v>
      </c>
      <c r="H51" s="17" t="s">
        <v>81</v>
      </c>
      <c r="I51" s="17">
        <v>26</v>
      </c>
      <c r="J51" s="17" t="s">
        <v>81</v>
      </c>
      <c r="K51" s="17">
        <v>40</v>
      </c>
      <c r="L51" s="17" t="s">
        <v>83</v>
      </c>
      <c r="M51" s="17">
        <f t="shared" si="6"/>
        <v>40</v>
      </c>
      <c r="N51" s="17">
        <f t="shared" si="7"/>
        <v>10</v>
      </c>
      <c r="O51" s="17">
        <f t="shared" si="8"/>
        <v>91</v>
      </c>
      <c r="P51" s="17">
        <v>16</v>
      </c>
      <c r="Q51" s="17" t="s">
        <v>81</v>
      </c>
      <c r="R51" s="17">
        <v>9</v>
      </c>
      <c r="S51" s="17" t="s">
        <v>80</v>
      </c>
      <c r="T51" s="17">
        <v>44</v>
      </c>
      <c r="U51" s="17" t="s">
        <v>83</v>
      </c>
      <c r="V51" s="17">
        <v>44</v>
      </c>
      <c r="W51" s="17" t="s">
        <v>83</v>
      </c>
      <c r="X51" s="17">
        <f t="shared" si="9"/>
        <v>44</v>
      </c>
      <c r="Y51" s="17">
        <f t="shared" si="10"/>
        <v>9</v>
      </c>
      <c r="Z51" s="28">
        <f t="shared" si="11"/>
        <v>113</v>
      </c>
    </row>
    <row r="52" spans="4:26" x14ac:dyDescent="0.3">
      <c r="D52" s="27" t="s">
        <v>100</v>
      </c>
      <c r="E52" s="17">
        <v>15</v>
      </c>
      <c r="F52" s="17" t="s">
        <v>81</v>
      </c>
      <c r="G52" s="17">
        <v>16</v>
      </c>
      <c r="H52" s="17" t="s">
        <v>81</v>
      </c>
      <c r="I52" s="17">
        <v>30</v>
      </c>
      <c r="J52" s="17" t="s">
        <v>82</v>
      </c>
      <c r="K52" s="17">
        <v>40</v>
      </c>
      <c r="L52" s="17" t="s">
        <v>83</v>
      </c>
      <c r="M52" s="17">
        <f t="shared" si="6"/>
        <v>40</v>
      </c>
      <c r="N52" s="17">
        <f t="shared" si="7"/>
        <v>15</v>
      </c>
      <c r="O52" s="17">
        <f t="shared" si="8"/>
        <v>101</v>
      </c>
      <c r="P52" s="17">
        <v>4</v>
      </c>
      <c r="Q52" s="17" t="s">
        <v>80</v>
      </c>
      <c r="R52" s="17">
        <v>32</v>
      </c>
      <c r="S52" s="17" t="s">
        <v>82</v>
      </c>
      <c r="T52" s="17">
        <v>47</v>
      </c>
      <c r="U52" s="17" t="s">
        <v>83</v>
      </c>
      <c r="V52" s="17">
        <v>47</v>
      </c>
      <c r="W52" s="17" t="s">
        <v>83</v>
      </c>
      <c r="X52" s="17">
        <f t="shared" si="9"/>
        <v>47</v>
      </c>
      <c r="Y52" s="17">
        <f t="shared" si="10"/>
        <v>4</v>
      </c>
      <c r="Z52" s="28">
        <f t="shared" si="11"/>
        <v>130</v>
      </c>
    </row>
    <row r="53" spans="4:26" x14ac:dyDescent="0.3">
      <c r="D53" s="27" t="s">
        <v>119</v>
      </c>
      <c r="E53" s="17">
        <v>38</v>
      </c>
      <c r="F53" s="17" t="s">
        <v>82</v>
      </c>
      <c r="G53" s="17">
        <v>47</v>
      </c>
      <c r="H53" s="17" t="s">
        <v>83</v>
      </c>
      <c r="I53" s="17">
        <v>4</v>
      </c>
      <c r="J53" s="17" t="s">
        <v>80</v>
      </c>
      <c r="K53" s="17">
        <v>34</v>
      </c>
      <c r="L53" s="17" t="s">
        <v>82</v>
      </c>
      <c r="M53" s="17">
        <f t="shared" si="6"/>
        <v>47</v>
      </c>
      <c r="N53" s="17">
        <f t="shared" si="7"/>
        <v>4</v>
      </c>
      <c r="O53" s="17">
        <f t="shared" si="8"/>
        <v>123</v>
      </c>
      <c r="P53" s="17">
        <v>42</v>
      </c>
      <c r="Q53" s="17" t="s">
        <v>83</v>
      </c>
      <c r="R53" s="17">
        <v>20</v>
      </c>
      <c r="S53" s="17" t="s">
        <v>81</v>
      </c>
      <c r="T53" s="17">
        <v>37</v>
      </c>
      <c r="U53" s="17" t="s">
        <v>82</v>
      </c>
      <c r="V53" s="17">
        <v>37</v>
      </c>
      <c r="W53" s="17" t="s">
        <v>82</v>
      </c>
      <c r="X53" s="17">
        <f t="shared" si="9"/>
        <v>42</v>
      </c>
      <c r="Y53" s="17">
        <f t="shared" si="10"/>
        <v>20</v>
      </c>
      <c r="Z53" s="28">
        <f t="shared" si="11"/>
        <v>136</v>
      </c>
    </row>
    <row r="54" spans="4:26" x14ac:dyDescent="0.3">
      <c r="D54" s="27" t="s">
        <v>97</v>
      </c>
      <c r="E54" s="17">
        <v>21</v>
      </c>
      <c r="F54" s="17" t="s">
        <v>81</v>
      </c>
      <c r="G54" s="17">
        <v>4</v>
      </c>
      <c r="H54" s="17" t="s">
        <v>80</v>
      </c>
      <c r="I54" s="17">
        <v>26</v>
      </c>
      <c r="J54" s="17" t="s">
        <v>81</v>
      </c>
      <c r="K54" s="17">
        <v>24</v>
      </c>
      <c r="L54" s="17" t="s">
        <v>81</v>
      </c>
      <c r="M54" s="17">
        <f t="shared" si="6"/>
        <v>26</v>
      </c>
      <c r="N54" s="17">
        <f t="shared" si="7"/>
        <v>4</v>
      </c>
      <c r="O54" s="17">
        <f t="shared" si="8"/>
        <v>75</v>
      </c>
      <c r="P54" s="17">
        <v>39</v>
      </c>
      <c r="Q54" s="17" t="s">
        <v>82</v>
      </c>
      <c r="R54" s="17">
        <v>41</v>
      </c>
      <c r="S54" s="17" t="s">
        <v>83</v>
      </c>
      <c r="T54" s="17">
        <v>26</v>
      </c>
      <c r="U54" s="17" t="s">
        <v>81</v>
      </c>
      <c r="V54" s="17">
        <v>26</v>
      </c>
      <c r="W54" s="17" t="s">
        <v>81</v>
      </c>
      <c r="X54" s="17">
        <f t="shared" si="9"/>
        <v>41</v>
      </c>
      <c r="Y54" s="17">
        <f t="shared" si="10"/>
        <v>26</v>
      </c>
      <c r="Z54" s="28">
        <f t="shared" si="11"/>
        <v>132</v>
      </c>
    </row>
    <row r="55" spans="4:26" x14ac:dyDescent="0.3">
      <c r="D55" s="27" t="s">
        <v>105</v>
      </c>
      <c r="E55" s="17">
        <v>9</v>
      </c>
      <c r="F55" s="17" t="s">
        <v>80</v>
      </c>
      <c r="G55" s="17">
        <v>5</v>
      </c>
      <c r="H55" s="17" t="s">
        <v>80</v>
      </c>
      <c r="I55" s="17">
        <v>5</v>
      </c>
      <c r="J55" s="17" t="s">
        <v>80</v>
      </c>
      <c r="K55" s="17">
        <v>1</v>
      </c>
      <c r="L55" s="17" t="s">
        <v>80</v>
      </c>
      <c r="M55" s="17">
        <f t="shared" si="6"/>
        <v>9</v>
      </c>
      <c r="N55" s="17">
        <f t="shared" si="7"/>
        <v>1</v>
      </c>
      <c r="O55" s="17">
        <f t="shared" si="8"/>
        <v>20</v>
      </c>
      <c r="P55" s="17">
        <v>40</v>
      </c>
      <c r="Q55" s="17" t="s">
        <v>83</v>
      </c>
      <c r="R55" s="17">
        <v>30</v>
      </c>
      <c r="S55" s="17" t="s">
        <v>82</v>
      </c>
      <c r="T55" s="17">
        <v>4</v>
      </c>
      <c r="U55" s="17" t="s">
        <v>80</v>
      </c>
      <c r="V55" s="17">
        <v>4</v>
      </c>
      <c r="W55" s="17" t="s">
        <v>80</v>
      </c>
      <c r="X55" s="17">
        <f t="shared" si="9"/>
        <v>40</v>
      </c>
      <c r="Y55" s="17">
        <f t="shared" si="10"/>
        <v>4</v>
      </c>
      <c r="Z55" s="28">
        <f t="shared" si="11"/>
        <v>78</v>
      </c>
    </row>
    <row r="56" spans="4:26" x14ac:dyDescent="0.3">
      <c r="D56" s="27" t="s">
        <v>109</v>
      </c>
      <c r="E56" s="17">
        <v>28</v>
      </c>
      <c r="F56" s="17" t="s">
        <v>81</v>
      </c>
      <c r="G56" s="17">
        <v>19</v>
      </c>
      <c r="H56" s="17" t="s">
        <v>81</v>
      </c>
      <c r="I56" s="17">
        <v>44</v>
      </c>
      <c r="J56" s="17" t="s">
        <v>83</v>
      </c>
      <c r="K56" s="17">
        <v>20</v>
      </c>
      <c r="L56" s="17" t="s">
        <v>81</v>
      </c>
      <c r="M56" s="17">
        <f t="shared" si="6"/>
        <v>44</v>
      </c>
      <c r="N56" s="17">
        <f t="shared" si="7"/>
        <v>19</v>
      </c>
      <c r="O56" s="17">
        <f t="shared" si="8"/>
        <v>111</v>
      </c>
      <c r="P56" s="17">
        <v>8</v>
      </c>
      <c r="Q56" s="17" t="s">
        <v>80</v>
      </c>
      <c r="R56" s="17">
        <v>48</v>
      </c>
      <c r="S56" s="17" t="s">
        <v>83</v>
      </c>
      <c r="T56" s="17">
        <v>27</v>
      </c>
      <c r="U56" s="17" t="s">
        <v>81</v>
      </c>
      <c r="V56" s="17">
        <v>27</v>
      </c>
      <c r="W56" s="17" t="s">
        <v>81</v>
      </c>
      <c r="X56" s="17">
        <f t="shared" si="9"/>
        <v>48</v>
      </c>
      <c r="Y56" s="17">
        <f t="shared" si="10"/>
        <v>8</v>
      </c>
      <c r="Z56" s="28">
        <f t="shared" si="11"/>
        <v>110</v>
      </c>
    </row>
    <row r="57" spans="4:26" x14ac:dyDescent="0.3">
      <c r="D57" s="27" t="s">
        <v>98</v>
      </c>
      <c r="E57" s="17">
        <v>45</v>
      </c>
      <c r="F57" s="17" t="s">
        <v>83</v>
      </c>
      <c r="G57" s="17">
        <v>16</v>
      </c>
      <c r="H57" s="17" t="s">
        <v>81</v>
      </c>
      <c r="I57" s="17">
        <v>47</v>
      </c>
      <c r="J57" s="17" t="s">
        <v>83</v>
      </c>
      <c r="K57" s="17">
        <v>13</v>
      </c>
      <c r="L57" s="17" t="s">
        <v>81</v>
      </c>
      <c r="M57" s="17">
        <f t="shared" si="6"/>
        <v>47</v>
      </c>
      <c r="N57" s="17">
        <f t="shared" si="7"/>
        <v>13</v>
      </c>
      <c r="O57" s="17">
        <f t="shared" si="8"/>
        <v>121</v>
      </c>
      <c r="P57" s="17">
        <v>1</v>
      </c>
      <c r="Q57" s="17" t="s">
        <v>80</v>
      </c>
      <c r="R57" s="17">
        <v>10</v>
      </c>
      <c r="S57" s="17" t="s">
        <v>81</v>
      </c>
      <c r="T57" s="17">
        <v>50</v>
      </c>
      <c r="U57" s="17" t="s">
        <v>83</v>
      </c>
      <c r="V57" s="17">
        <v>50</v>
      </c>
      <c r="W57" s="17" t="s">
        <v>83</v>
      </c>
      <c r="X57" s="17">
        <f t="shared" si="9"/>
        <v>50</v>
      </c>
      <c r="Y57" s="17">
        <f t="shared" si="10"/>
        <v>1</v>
      </c>
      <c r="Z57" s="28">
        <f t="shared" si="11"/>
        <v>111</v>
      </c>
    </row>
    <row r="58" spans="4:26" x14ac:dyDescent="0.3">
      <c r="D58" s="27" t="s">
        <v>94</v>
      </c>
      <c r="E58" s="17">
        <v>18</v>
      </c>
      <c r="F58" s="17" t="s">
        <v>81</v>
      </c>
      <c r="G58" s="17">
        <v>46</v>
      </c>
      <c r="H58" s="17" t="s">
        <v>83</v>
      </c>
      <c r="I58" s="17">
        <v>42</v>
      </c>
      <c r="J58" s="17" t="s">
        <v>83</v>
      </c>
      <c r="K58" s="17">
        <v>23</v>
      </c>
      <c r="L58" s="17" t="s">
        <v>81</v>
      </c>
      <c r="M58" s="17">
        <f t="shared" si="6"/>
        <v>46</v>
      </c>
      <c r="N58" s="17">
        <f t="shared" si="7"/>
        <v>18</v>
      </c>
      <c r="O58" s="17">
        <f t="shared" si="8"/>
        <v>129</v>
      </c>
      <c r="P58" s="17">
        <v>45</v>
      </c>
      <c r="Q58" s="17" t="s">
        <v>83</v>
      </c>
      <c r="R58" s="17">
        <v>16</v>
      </c>
      <c r="S58" s="17" t="s">
        <v>81</v>
      </c>
      <c r="T58" s="17">
        <v>2</v>
      </c>
      <c r="U58" s="17" t="s">
        <v>80</v>
      </c>
      <c r="V58" s="17">
        <v>2</v>
      </c>
      <c r="W58" s="17" t="s">
        <v>80</v>
      </c>
      <c r="X58" s="17">
        <f t="shared" si="9"/>
        <v>45</v>
      </c>
      <c r="Y58" s="17">
        <f t="shared" si="10"/>
        <v>2</v>
      </c>
      <c r="Z58" s="28">
        <f t="shared" si="11"/>
        <v>65</v>
      </c>
    </row>
    <row r="59" spans="4:26" x14ac:dyDescent="0.3">
      <c r="D59" s="27" t="s">
        <v>103</v>
      </c>
      <c r="E59" s="17">
        <v>5</v>
      </c>
      <c r="F59" s="17" t="s">
        <v>80</v>
      </c>
      <c r="G59" s="17">
        <v>50</v>
      </c>
      <c r="H59" s="17" t="s">
        <v>83</v>
      </c>
      <c r="I59" s="17">
        <v>4</v>
      </c>
      <c r="J59" s="17" t="s">
        <v>80</v>
      </c>
      <c r="K59" s="17">
        <v>42</v>
      </c>
      <c r="L59" s="17" t="s">
        <v>83</v>
      </c>
      <c r="M59" s="17">
        <f t="shared" si="6"/>
        <v>50</v>
      </c>
      <c r="N59" s="17">
        <f t="shared" si="7"/>
        <v>4</v>
      </c>
      <c r="O59" s="17">
        <f t="shared" si="8"/>
        <v>101</v>
      </c>
      <c r="P59" s="17">
        <v>32</v>
      </c>
      <c r="Q59" s="17" t="s">
        <v>82</v>
      </c>
      <c r="R59" s="17">
        <v>33</v>
      </c>
      <c r="S59" s="17" t="s">
        <v>82</v>
      </c>
      <c r="T59" s="17">
        <v>49</v>
      </c>
      <c r="U59" s="17" t="s">
        <v>83</v>
      </c>
      <c r="V59" s="17">
        <v>49</v>
      </c>
      <c r="W59" s="17" t="s">
        <v>83</v>
      </c>
      <c r="X59" s="17">
        <f t="shared" si="9"/>
        <v>49</v>
      </c>
      <c r="Y59" s="17">
        <f t="shared" si="10"/>
        <v>32</v>
      </c>
      <c r="Z59" s="28">
        <f t="shared" si="11"/>
        <v>163</v>
      </c>
    </row>
    <row r="60" spans="4:26" x14ac:dyDescent="0.3">
      <c r="D60" s="27" t="s">
        <v>91</v>
      </c>
      <c r="E60" s="17">
        <v>22</v>
      </c>
      <c r="F60" s="17" t="s">
        <v>81</v>
      </c>
      <c r="G60" s="17">
        <v>6</v>
      </c>
      <c r="H60" s="17" t="s">
        <v>80</v>
      </c>
      <c r="I60" s="17">
        <v>32</v>
      </c>
      <c r="J60" s="17" t="s">
        <v>82</v>
      </c>
      <c r="K60" s="17">
        <v>1</v>
      </c>
      <c r="L60" s="17" t="s">
        <v>80</v>
      </c>
      <c r="M60" s="17">
        <f t="shared" si="6"/>
        <v>32</v>
      </c>
      <c r="N60" s="17">
        <f t="shared" si="7"/>
        <v>1</v>
      </c>
      <c r="O60" s="17">
        <f t="shared" si="8"/>
        <v>61</v>
      </c>
      <c r="P60" s="17">
        <v>38</v>
      </c>
      <c r="Q60" s="17" t="s">
        <v>82</v>
      </c>
      <c r="R60" s="17">
        <v>22</v>
      </c>
      <c r="S60" s="17" t="s">
        <v>81</v>
      </c>
      <c r="T60" s="17">
        <v>37</v>
      </c>
      <c r="U60" s="17" t="s">
        <v>82</v>
      </c>
      <c r="V60" s="17">
        <v>37</v>
      </c>
      <c r="W60" s="17" t="s">
        <v>82</v>
      </c>
      <c r="X60" s="17">
        <f t="shared" si="9"/>
        <v>38</v>
      </c>
      <c r="Y60" s="17">
        <f t="shared" si="10"/>
        <v>22</v>
      </c>
      <c r="Z60" s="28">
        <f t="shared" si="11"/>
        <v>134</v>
      </c>
    </row>
    <row r="61" spans="4:26" x14ac:dyDescent="0.3">
      <c r="D61" s="27" t="s">
        <v>113</v>
      </c>
      <c r="E61" s="17">
        <v>47</v>
      </c>
      <c r="F61" s="17" t="s">
        <v>83</v>
      </c>
      <c r="G61" s="17">
        <v>14</v>
      </c>
      <c r="H61" s="17" t="s">
        <v>81</v>
      </c>
      <c r="I61" s="17">
        <v>2</v>
      </c>
      <c r="J61" s="17" t="s">
        <v>80</v>
      </c>
      <c r="K61" s="17">
        <v>21</v>
      </c>
      <c r="L61" s="17" t="s">
        <v>81</v>
      </c>
      <c r="M61" s="17">
        <f t="shared" si="6"/>
        <v>47</v>
      </c>
      <c r="N61" s="17">
        <f t="shared" si="7"/>
        <v>2</v>
      </c>
      <c r="O61" s="17">
        <f t="shared" si="8"/>
        <v>84</v>
      </c>
      <c r="P61" s="17">
        <v>36</v>
      </c>
      <c r="Q61" s="17" t="s">
        <v>82</v>
      </c>
      <c r="R61" s="17">
        <v>24</v>
      </c>
      <c r="S61" s="17" t="s">
        <v>81</v>
      </c>
      <c r="T61" s="17">
        <v>2</v>
      </c>
      <c r="U61" s="17" t="s">
        <v>80</v>
      </c>
      <c r="V61" s="17">
        <v>2</v>
      </c>
      <c r="W61" s="17" t="s">
        <v>80</v>
      </c>
      <c r="X61" s="17">
        <f t="shared" si="9"/>
        <v>36</v>
      </c>
      <c r="Y61" s="17">
        <f t="shared" si="10"/>
        <v>2</v>
      </c>
      <c r="Z61" s="28">
        <f t="shared" si="11"/>
        <v>64</v>
      </c>
    </row>
    <row r="62" spans="4:26" x14ac:dyDescent="0.3">
      <c r="D62" s="27" t="s">
        <v>107</v>
      </c>
      <c r="E62" s="17">
        <v>48</v>
      </c>
      <c r="F62" s="17" t="s">
        <v>83</v>
      </c>
      <c r="G62" s="17">
        <v>34</v>
      </c>
      <c r="H62" s="17" t="s">
        <v>82</v>
      </c>
      <c r="I62" s="17">
        <v>20</v>
      </c>
      <c r="J62" s="17" t="s">
        <v>81</v>
      </c>
      <c r="K62" s="17">
        <v>8</v>
      </c>
      <c r="L62" s="17" t="s">
        <v>80</v>
      </c>
      <c r="M62" s="17">
        <f t="shared" si="6"/>
        <v>48</v>
      </c>
      <c r="N62" s="17">
        <f t="shared" si="7"/>
        <v>8</v>
      </c>
      <c r="O62" s="17">
        <f t="shared" si="8"/>
        <v>110</v>
      </c>
      <c r="P62" s="17">
        <v>50</v>
      </c>
      <c r="Q62" s="17" t="s">
        <v>83</v>
      </c>
      <c r="R62" s="17">
        <v>15</v>
      </c>
      <c r="S62" s="17" t="s">
        <v>81</v>
      </c>
      <c r="T62" s="17">
        <v>30</v>
      </c>
      <c r="U62" s="17" t="s">
        <v>82</v>
      </c>
      <c r="V62" s="17">
        <v>30</v>
      </c>
      <c r="W62" s="17" t="s">
        <v>82</v>
      </c>
      <c r="X62" s="17">
        <f t="shared" si="9"/>
        <v>50</v>
      </c>
      <c r="Y62" s="17">
        <f t="shared" si="10"/>
        <v>15</v>
      </c>
      <c r="Z62" s="28">
        <f t="shared" si="11"/>
        <v>125</v>
      </c>
    </row>
    <row r="63" spans="4:26" x14ac:dyDescent="0.3">
      <c r="D63" s="27" t="s">
        <v>101</v>
      </c>
      <c r="E63" s="17">
        <v>17</v>
      </c>
      <c r="F63" s="17" t="s">
        <v>81</v>
      </c>
      <c r="G63" s="17">
        <v>39</v>
      </c>
      <c r="H63" s="17" t="s">
        <v>82</v>
      </c>
      <c r="I63" s="17">
        <v>20</v>
      </c>
      <c r="J63" s="17" t="s">
        <v>81</v>
      </c>
      <c r="K63" s="17">
        <v>13</v>
      </c>
      <c r="L63" s="17" t="s">
        <v>81</v>
      </c>
      <c r="M63" s="17">
        <f t="shared" si="6"/>
        <v>39</v>
      </c>
      <c r="N63" s="17">
        <f t="shared" si="7"/>
        <v>13</v>
      </c>
      <c r="O63" s="17">
        <f t="shared" si="8"/>
        <v>89</v>
      </c>
      <c r="P63" s="17">
        <v>33</v>
      </c>
      <c r="Q63" s="17" t="s">
        <v>82</v>
      </c>
      <c r="R63" s="17">
        <v>16</v>
      </c>
      <c r="S63" s="17" t="s">
        <v>81</v>
      </c>
      <c r="T63" s="17">
        <v>19</v>
      </c>
      <c r="U63" s="17" t="s">
        <v>81</v>
      </c>
      <c r="V63" s="17">
        <v>19</v>
      </c>
      <c r="W63" s="17" t="s">
        <v>81</v>
      </c>
      <c r="X63" s="17">
        <f t="shared" si="9"/>
        <v>33</v>
      </c>
      <c r="Y63" s="17">
        <f t="shared" si="10"/>
        <v>16</v>
      </c>
      <c r="Z63" s="28">
        <f t="shared" si="11"/>
        <v>87</v>
      </c>
    </row>
    <row r="64" spans="4:26" x14ac:dyDescent="0.3">
      <c r="D64" s="27" t="s">
        <v>104</v>
      </c>
      <c r="E64" s="17">
        <v>34</v>
      </c>
      <c r="F64" s="17" t="s">
        <v>82</v>
      </c>
      <c r="G64" s="17">
        <v>41</v>
      </c>
      <c r="H64" s="17" t="s">
        <v>83</v>
      </c>
      <c r="I64" s="17">
        <v>44</v>
      </c>
      <c r="J64" s="17" t="s">
        <v>83</v>
      </c>
      <c r="K64" s="17">
        <v>18</v>
      </c>
      <c r="L64" s="17" t="s">
        <v>81</v>
      </c>
      <c r="M64" s="17">
        <f t="shared" si="6"/>
        <v>44</v>
      </c>
      <c r="N64" s="17">
        <f t="shared" si="7"/>
        <v>18</v>
      </c>
      <c r="O64" s="17">
        <f t="shared" si="8"/>
        <v>137</v>
      </c>
      <c r="P64" s="17">
        <v>13</v>
      </c>
      <c r="Q64" s="17" t="s">
        <v>81</v>
      </c>
      <c r="R64" s="17">
        <v>22</v>
      </c>
      <c r="S64" s="17" t="s">
        <v>81</v>
      </c>
      <c r="T64" s="17">
        <v>21</v>
      </c>
      <c r="U64" s="17" t="s">
        <v>81</v>
      </c>
      <c r="V64" s="17">
        <v>21</v>
      </c>
      <c r="W64" s="17" t="s">
        <v>81</v>
      </c>
      <c r="X64" s="17">
        <f t="shared" si="9"/>
        <v>22</v>
      </c>
      <c r="Y64" s="17">
        <f t="shared" si="10"/>
        <v>13</v>
      </c>
      <c r="Z64" s="28">
        <f t="shared" si="11"/>
        <v>77</v>
      </c>
    </row>
    <row r="65" spans="4:26" x14ac:dyDescent="0.3">
      <c r="D65" s="27" t="s">
        <v>106</v>
      </c>
      <c r="E65" s="17">
        <v>24</v>
      </c>
      <c r="F65" s="17" t="s">
        <v>81</v>
      </c>
      <c r="G65" s="17">
        <v>24</v>
      </c>
      <c r="H65" s="17" t="s">
        <v>81</v>
      </c>
      <c r="I65" s="17">
        <v>41</v>
      </c>
      <c r="J65" s="17" t="s">
        <v>83</v>
      </c>
      <c r="K65" s="17">
        <v>25</v>
      </c>
      <c r="L65" s="17" t="s">
        <v>81</v>
      </c>
      <c r="M65" s="17">
        <f t="shared" si="6"/>
        <v>41</v>
      </c>
      <c r="N65" s="17">
        <f t="shared" si="7"/>
        <v>24</v>
      </c>
      <c r="O65" s="17">
        <f t="shared" si="8"/>
        <v>114</v>
      </c>
      <c r="P65" s="17">
        <v>1</v>
      </c>
      <c r="Q65" s="17" t="s">
        <v>80</v>
      </c>
      <c r="R65" s="17">
        <v>3</v>
      </c>
      <c r="S65" s="17" t="s">
        <v>80</v>
      </c>
      <c r="T65" s="17">
        <v>46</v>
      </c>
      <c r="U65" s="17" t="s">
        <v>83</v>
      </c>
      <c r="V65" s="17">
        <v>46</v>
      </c>
      <c r="W65" s="17" t="s">
        <v>83</v>
      </c>
      <c r="X65" s="17">
        <f t="shared" si="9"/>
        <v>46</v>
      </c>
      <c r="Y65" s="17">
        <f t="shared" si="10"/>
        <v>1</v>
      </c>
      <c r="Z65" s="28">
        <f t="shared" si="11"/>
        <v>96</v>
      </c>
    </row>
    <row r="66" spans="4:26" x14ac:dyDescent="0.3">
      <c r="D66" s="27" t="s">
        <v>99</v>
      </c>
      <c r="E66" s="17">
        <v>12</v>
      </c>
      <c r="F66" s="17" t="s">
        <v>81</v>
      </c>
      <c r="G66" s="17">
        <v>40</v>
      </c>
      <c r="H66" s="17" t="s">
        <v>83</v>
      </c>
      <c r="I66" s="17">
        <v>16</v>
      </c>
      <c r="J66" s="17" t="s">
        <v>81</v>
      </c>
      <c r="K66" s="17">
        <v>22</v>
      </c>
      <c r="L66" s="17" t="s">
        <v>81</v>
      </c>
      <c r="M66" s="17">
        <f t="shared" si="6"/>
        <v>40</v>
      </c>
      <c r="N66" s="17">
        <f t="shared" si="7"/>
        <v>12</v>
      </c>
      <c r="O66" s="17">
        <f t="shared" si="8"/>
        <v>90</v>
      </c>
      <c r="P66" s="17">
        <v>38</v>
      </c>
      <c r="Q66" s="17" t="s">
        <v>82</v>
      </c>
      <c r="R66" s="17">
        <v>35</v>
      </c>
      <c r="S66" s="17" t="s">
        <v>82</v>
      </c>
      <c r="T66" s="17">
        <v>1</v>
      </c>
      <c r="U66" s="17" t="s">
        <v>80</v>
      </c>
      <c r="V66" s="17">
        <v>1</v>
      </c>
      <c r="W66" s="17" t="s">
        <v>80</v>
      </c>
      <c r="X66" s="17">
        <f t="shared" si="9"/>
        <v>38</v>
      </c>
      <c r="Y66" s="17">
        <f t="shared" si="10"/>
        <v>1</v>
      </c>
      <c r="Z66" s="28">
        <f t="shared" si="11"/>
        <v>75</v>
      </c>
    </row>
    <row r="67" spans="4:26" x14ac:dyDescent="0.3">
      <c r="D67" s="27" t="s">
        <v>112</v>
      </c>
      <c r="E67" s="17">
        <v>50</v>
      </c>
      <c r="F67" s="17" t="s">
        <v>83</v>
      </c>
      <c r="G67" s="17">
        <v>50</v>
      </c>
      <c r="H67" s="17" t="s">
        <v>83</v>
      </c>
      <c r="I67" s="17">
        <v>50</v>
      </c>
      <c r="J67" s="17" t="s">
        <v>83</v>
      </c>
      <c r="K67" s="17">
        <v>50</v>
      </c>
      <c r="L67" s="17" t="s">
        <v>83</v>
      </c>
      <c r="M67" s="17">
        <f t="shared" si="6"/>
        <v>50</v>
      </c>
      <c r="N67" s="17">
        <f t="shared" si="7"/>
        <v>50</v>
      </c>
      <c r="O67" s="17">
        <f t="shared" si="8"/>
        <v>200</v>
      </c>
      <c r="P67" s="17">
        <v>25</v>
      </c>
      <c r="Q67" s="17" t="s">
        <v>81</v>
      </c>
      <c r="R67" s="17">
        <v>30</v>
      </c>
      <c r="S67" s="17" t="s">
        <v>82</v>
      </c>
      <c r="T67" s="17">
        <v>32</v>
      </c>
      <c r="U67" s="17" t="s">
        <v>82</v>
      </c>
      <c r="V67" s="17">
        <v>32</v>
      </c>
      <c r="W67" s="17" t="s">
        <v>82</v>
      </c>
      <c r="X67" s="17">
        <f t="shared" si="9"/>
        <v>32</v>
      </c>
      <c r="Y67" s="17">
        <f t="shared" si="10"/>
        <v>25</v>
      </c>
      <c r="Z67" s="28">
        <f t="shared" si="11"/>
        <v>119</v>
      </c>
    </row>
    <row r="68" spans="4:26" x14ac:dyDescent="0.3">
      <c r="D68" s="27" t="s">
        <v>102</v>
      </c>
      <c r="E68" s="17">
        <v>42</v>
      </c>
      <c r="F68" s="17" t="s">
        <v>83</v>
      </c>
      <c r="G68" s="17">
        <v>11</v>
      </c>
      <c r="H68" s="17" t="s">
        <v>81</v>
      </c>
      <c r="I68" s="17">
        <v>8</v>
      </c>
      <c r="J68" s="17" t="s">
        <v>80</v>
      </c>
      <c r="K68" s="17">
        <v>45</v>
      </c>
      <c r="L68" s="17" t="s">
        <v>83</v>
      </c>
      <c r="M68" s="17">
        <f t="shared" si="6"/>
        <v>45</v>
      </c>
      <c r="N68" s="17">
        <f t="shared" si="7"/>
        <v>8</v>
      </c>
      <c r="O68" s="17">
        <f t="shared" si="8"/>
        <v>106</v>
      </c>
      <c r="P68" s="17">
        <v>6</v>
      </c>
      <c r="Q68" s="17" t="s">
        <v>80</v>
      </c>
      <c r="R68" s="17">
        <v>5</v>
      </c>
      <c r="S68" s="17" t="s">
        <v>80</v>
      </c>
      <c r="T68" s="17">
        <v>49</v>
      </c>
      <c r="U68" s="17" t="s">
        <v>83</v>
      </c>
      <c r="V68" s="17">
        <v>49</v>
      </c>
      <c r="W68" s="17" t="s">
        <v>83</v>
      </c>
      <c r="X68" s="17">
        <f t="shared" si="9"/>
        <v>49</v>
      </c>
      <c r="Y68" s="17">
        <f t="shared" si="10"/>
        <v>5</v>
      </c>
      <c r="Z68" s="28">
        <f t="shared" si="11"/>
        <v>109</v>
      </c>
    </row>
    <row r="69" spans="4:26" x14ac:dyDescent="0.3">
      <c r="D69" s="27" t="s">
        <v>114</v>
      </c>
      <c r="E69" s="17">
        <v>22</v>
      </c>
      <c r="F69" s="17" t="s">
        <v>81</v>
      </c>
      <c r="G69" s="17">
        <v>38</v>
      </c>
      <c r="H69" s="17" t="s">
        <v>82</v>
      </c>
      <c r="I69" s="17">
        <v>44</v>
      </c>
      <c r="J69" s="17" t="s">
        <v>83</v>
      </c>
      <c r="K69" s="17">
        <v>42</v>
      </c>
      <c r="L69" s="17" t="s">
        <v>83</v>
      </c>
      <c r="M69" s="17">
        <f t="shared" si="6"/>
        <v>44</v>
      </c>
      <c r="N69" s="17">
        <f t="shared" si="7"/>
        <v>22</v>
      </c>
      <c r="O69" s="17">
        <f t="shared" si="8"/>
        <v>146</v>
      </c>
      <c r="P69" s="17">
        <v>29</v>
      </c>
      <c r="Q69" s="17" t="s">
        <v>81</v>
      </c>
      <c r="R69" s="17">
        <v>41</v>
      </c>
      <c r="S69" s="17" t="s">
        <v>83</v>
      </c>
      <c r="T69" s="17">
        <v>8</v>
      </c>
      <c r="U69" s="17" t="s">
        <v>80</v>
      </c>
      <c r="V69" s="17">
        <v>8</v>
      </c>
      <c r="W69" s="17" t="s">
        <v>80</v>
      </c>
      <c r="X69" s="17">
        <f t="shared" si="9"/>
        <v>41</v>
      </c>
      <c r="Y69" s="17">
        <f t="shared" si="10"/>
        <v>8</v>
      </c>
      <c r="Z69" s="28">
        <f t="shared" si="11"/>
        <v>86</v>
      </c>
    </row>
    <row r="70" spans="4:26" x14ac:dyDescent="0.3">
      <c r="D70" s="27" t="s">
        <v>93</v>
      </c>
      <c r="E70" s="17">
        <v>8</v>
      </c>
      <c r="F70" s="17" t="s">
        <v>80</v>
      </c>
      <c r="G70" s="17">
        <v>19</v>
      </c>
      <c r="H70" s="17" t="s">
        <v>81</v>
      </c>
      <c r="I70" s="17">
        <v>15</v>
      </c>
      <c r="J70" s="17" t="s">
        <v>81</v>
      </c>
      <c r="K70" s="17">
        <v>50</v>
      </c>
      <c r="L70" s="17" t="s">
        <v>83</v>
      </c>
      <c r="M70" s="17">
        <f t="shared" si="6"/>
        <v>50</v>
      </c>
      <c r="N70" s="17">
        <f t="shared" si="7"/>
        <v>8</v>
      </c>
      <c r="O70" s="17">
        <f t="shared" si="8"/>
        <v>92</v>
      </c>
      <c r="P70" s="17">
        <v>19</v>
      </c>
      <c r="Q70" s="17" t="s">
        <v>81</v>
      </c>
      <c r="R70" s="17">
        <v>8</v>
      </c>
      <c r="S70" s="17" t="s">
        <v>80</v>
      </c>
      <c r="T70" s="17">
        <v>43</v>
      </c>
      <c r="U70" s="17" t="s">
        <v>83</v>
      </c>
      <c r="V70" s="17">
        <v>43</v>
      </c>
      <c r="W70" s="17" t="s">
        <v>83</v>
      </c>
      <c r="X70" s="17">
        <f t="shared" si="9"/>
        <v>43</v>
      </c>
      <c r="Y70" s="17">
        <f t="shared" si="10"/>
        <v>8</v>
      </c>
      <c r="Z70" s="28">
        <f t="shared" si="11"/>
        <v>113</v>
      </c>
    </row>
    <row r="71" spans="4:26" x14ac:dyDescent="0.3">
      <c r="D71" s="27" t="s">
        <v>118</v>
      </c>
      <c r="E71" s="17">
        <v>19</v>
      </c>
      <c r="F71" s="17" t="s">
        <v>81</v>
      </c>
      <c r="G71" s="17">
        <v>9</v>
      </c>
      <c r="H71" s="17" t="s">
        <v>80</v>
      </c>
      <c r="I71" s="17">
        <v>26</v>
      </c>
      <c r="J71" s="17" t="s">
        <v>81</v>
      </c>
      <c r="K71" s="17">
        <v>10</v>
      </c>
      <c r="L71" s="17" t="s">
        <v>81</v>
      </c>
      <c r="M71" s="17">
        <f t="shared" si="6"/>
        <v>26</v>
      </c>
      <c r="N71" s="17">
        <f t="shared" si="7"/>
        <v>9</v>
      </c>
      <c r="O71" s="17">
        <f t="shared" si="8"/>
        <v>64</v>
      </c>
      <c r="P71" s="17">
        <v>14</v>
      </c>
      <c r="Q71" s="17" t="s">
        <v>81</v>
      </c>
      <c r="R71" s="17">
        <v>25</v>
      </c>
      <c r="S71" s="17" t="s">
        <v>81</v>
      </c>
      <c r="T71" s="17">
        <v>49</v>
      </c>
      <c r="U71" s="17" t="s">
        <v>83</v>
      </c>
      <c r="V71" s="17">
        <v>49</v>
      </c>
      <c r="W71" s="17" t="s">
        <v>83</v>
      </c>
      <c r="X71" s="17">
        <f t="shared" si="9"/>
        <v>49</v>
      </c>
      <c r="Y71" s="17">
        <f t="shared" si="10"/>
        <v>14</v>
      </c>
      <c r="Z71" s="28">
        <f t="shared" si="11"/>
        <v>137</v>
      </c>
    </row>
    <row r="72" spans="4:26" x14ac:dyDescent="0.3">
      <c r="D72" s="27" t="s">
        <v>108</v>
      </c>
      <c r="E72" s="17">
        <v>50</v>
      </c>
      <c r="F72" s="17" t="s">
        <v>83</v>
      </c>
      <c r="G72" s="17">
        <v>19</v>
      </c>
      <c r="H72" s="17" t="s">
        <v>81</v>
      </c>
      <c r="I72" s="17">
        <v>4</v>
      </c>
      <c r="J72" s="17" t="s">
        <v>80</v>
      </c>
      <c r="K72" s="17">
        <v>2</v>
      </c>
      <c r="L72" s="17" t="s">
        <v>80</v>
      </c>
      <c r="M72" s="17">
        <f t="shared" si="6"/>
        <v>50</v>
      </c>
      <c r="N72" s="17">
        <f t="shared" si="7"/>
        <v>2</v>
      </c>
      <c r="O72" s="17">
        <f t="shared" si="8"/>
        <v>75</v>
      </c>
      <c r="P72" s="17">
        <v>2</v>
      </c>
      <c r="Q72" s="17" t="s">
        <v>80</v>
      </c>
      <c r="R72" s="17">
        <v>14</v>
      </c>
      <c r="S72" s="17" t="s">
        <v>81</v>
      </c>
      <c r="T72" s="17">
        <v>0</v>
      </c>
      <c r="U72" s="17" t="s">
        <v>80</v>
      </c>
      <c r="V72" s="17">
        <v>0</v>
      </c>
      <c r="W72" s="17" t="s">
        <v>80</v>
      </c>
      <c r="X72" s="17">
        <f t="shared" si="9"/>
        <v>14</v>
      </c>
      <c r="Y72" s="17">
        <f t="shared" si="10"/>
        <v>0</v>
      </c>
      <c r="Z72" s="28">
        <f t="shared" si="11"/>
        <v>16</v>
      </c>
    </row>
    <row r="73" spans="4:26" x14ac:dyDescent="0.3">
      <c r="D73" s="27" t="s">
        <v>95</v>
      </c>
      <c r="E73" s="17">
        <v>17</v>
      </c>
      <c r="F73" s="17" t="s">
        <v>81</v>
      </c>
      <c r="G73" s="17">
        <v>17</v>
      </c>
      <c r="H73" s="17" t="s">
        <v>81</v>
      </c>
      <c r="I73" s="17">
        <v>28</v>
      </c>
      <c r="J73" s="17" t="s">
        <v>81</v>
      </c>
      <c r="K73" s="17">
        <v>6</v>
      </c>
      <c r="L73" s="17" t="s">
        <v>80</v>
      </c>
      <c r="M73" s="17">
        <f t="shared" si="6"/>
        <v>28</v>
      </c>
      <c r="N73" s="17">
        <f t="shared" si="7"/>
        <v>6</v>
      </c>
      <c r="O73" s="17">
        <f t="shared" si="8"/>
        <v>68</v>
      </c>
      <c r="P73" s="17">
        <v>10</v>
      </c>
      <c r="Q73" s="17" t="s">
        <v>81</v>
      </c>
      <c r="R73" s="17">
        <v>44</v>
      </c>
      <c r="S73" s="17" t="s">
        <v>83</v>
      </c>
      <c r="T73" s="17">
        <v>43</v>
      </c>
      <c r="U73" s="17" t="s">
        <v>83</v>
      </c>
      <c r="V73" s="17">
        <v>43</v>
      </c>
      <c r="W73" s="17" t="s">
        <v>83</v>
      </c>
      <c r="X73" s="17">
        <f t="shared" si="9"/>
        <v>44</v>
      </c>
      <c r="Y73" s="17">
        <f t="shared" si="10"/>
        <v>10</v>
      </c>
      <c r="Z73" s="28">
        <f t="shared" si="11"/>
        <v>140</v>
      </c>
    </row>
    <row r="74" spans="4:26" x14ac:dyDescent="0.3">
      <c r="D74" s="27" t="s">
        <v>110</v>
      </c>
      <c r="E74" s="17">
        <v>14</v>
      </c>
      <c r="F74" s="17" t="s">
        <v>81</v>
      </c>
      <c r="G74" s="17">
        <v>49</v>
      </c>
      <c r="H74" s="17" t="s">
        <v>83</v>
      </c>
      <c r="I74" s="17">
        <v>6</v>
      </c>
      <c r="J74" s="17" t="s">
        <v>80</v>
      </c>
      <c r="K74" s="17">
        <v>3</v>
      </c>
      <c r="L74" s="17" t="s">
        <v>80</v>
      </c>
      <c r="M74" s="17">
        <f t="shared" si="6"/>
        <v>49</v>
      </c>
      <c r="N74" s="17">
        <f t="shared" si="7"/>
        <v>3</v>
      </c>
      <c r="O74" s="17">
        <f t="shared" si="8"/>
        <v>72</v>
      </c>
      <c r="P74" s="17">
        <v>7</v>
      </c>
      <c r="Q74" s="17" t="s">
        <v>80</v>
      </c>
      <c r="R74" s="17">
        <v>22</v>
      </c>
      <c r="S74" s="17" t="s">
        <v>81</v>
      </c>
      <c r="T74" s="17">
        <v>33</v>
      </c>
      <c r="U74" s="17" t="s">
        <v>82</v>
      </c>
      <c r="V74" s="17">
        <v>33</v>
      </c>
      <c r="W74" s="17" t="s">
        <v>82</v>
      </c>
      <c r="X74" s="17">
        <f t="shared" si="9"/>
        <v>33</v>
      </c>
      <c r="Y74" s="17">
        <f t="shared" si="10"/>
        <v>7</v>
      </c>
      <c r="Z74" s="28">
        <f t="shared" si="11"/>
        <v>95</v>
      </c>
    </row>
    <row r="75" spans="4:26" x14ac:dyDescent="0.3">
      <c r="D75" s="27" t="s">
        <v>111</v>
      </c>
      <c r="E75" s="17">
        <v>40</v>
      </c>
      <c r="F75" s="17" t="s">
        <v>83</v>
      </c>
      <c r="G75" s="17">
        <v>36</v>
      </c>
      <c r="H75" s="17" t="s">
        <v>82</v>
      </c>
      <c r="I75" s="17">
        <v>17</v>
      </c>
      <c r="J75" s="17" t="s">
        <v>81</v>
      </c>
      <c r="K75" s="17">
        <v>2</v>
      </c>
      <c r="L75" s="17" t="s">
        <v>80</v>
      </c>
      <c r="M75" s="17">
        <f t="shared" si="6"/>
        <v>40</v>
      </c>
      <c r="N75" s="17">
        <f t="shared" si="7"/>
        <v>2</v>
      </c>
      <c r="O75" s="17">
        <f t="shared" si="8"/>
        <v>95</v>
      </c>
      <c r="P75" s="17">
        <v>40</v>
      </c>
      <c r="Q75" s="17" t="s">
        <v>83</v>
      </c>
      <c r="R75" s="17">
        <v>40</v>
      </c>
      <c r="S75" s="17" t="s">
        <v>83</v>
      </c>
      <c r="T75" s="17">
        <v>37</v>
      </c>
      <c r="U75" s="17" t="s">
        <v>82</v>
      </c>
      <c r="V75" s="17">
        <v>37</v>
      </c>
      <c r="W75" s="17" t="s">
        <v>82</v>
      </c>
      <c r="X75" s="17">
        <f t="shared" si="9"/>
        <v>40</v>
      </c>
      <c r="Y75" s="17">
        <f t="shared" si="10"/>
        <v>37</v>
      </c>
      <c r="Z75" s="28">
        <f t="shared" si="11"/>
        <v>154</v>
      </c>
    </row>
    <row r="76" spans="4:26" x14ac:dyDescent="0.3">
      <c r="D76" s="27" t="s">
        <v>96</v>
      </c>
      <c r="E76" s="17">
        <v>28</v>
      </c>
      <c r="F76" s="17" t="s">
        <v>81</v>
      </c>
      <c r="G76" s="17">
        <v>8</v>
      </c>
      <c r="H76" s="17" t="s">
        <v>80</v>
      </c>
      <c r="I76" s="17">
        <v>10</v>
      </c>
      <c r="J76" s="17" t="s">
        <v>81</v>
      </c>
      <c r="K76" s="17">
        <v>8</v>
      </c>
      <c r="L76" s="17" t="s">
        <v>80</v>
      </c>
      <c r="M76" s="17">
        <f t="shared" si="6"/>
        <v>28</v>
      </c>
      <c r="N76" s="17">
        <f t="shared" si="7"/>
        <v>8</v>
      </c>
      <c r="O76" s="17">
        <f t="shared" si="8"/>
        <v>54</v>
      </c>
      <c r="P76" s="17">
        <v>26</v>
      </c>
      <c r="Q76" s="17" t="s">
        <v>81</v>
      </c>
      <c r="R76" s="17">
        <v>7</v>
      </c>
      <c r="S76" s="17" t="s">
        <v>80</v>
      </c>
      <c r="T76" s="17">
        <v>46</v>
      </c>
      <c r="U76" s="17" t="s">
        <v>83</v>
      </c>
      <c r="V76" s="17">
        <v>46</v>
      </c>
      <c r="W76" s="17" t="s">
        <v>83</v>
      </c>
      <c r="X76" s="17">
        <f t="shared" si="9"/>
        <v>46</v>
      </c>
      <c r="Y76" s="17">
        <f t="shared" si="10"/>
        <v>7</v>
      </c>
      <c r="Z76" s="28">
        <f t="shared" si="11"/>
        <v>125</v>
      </c>
    </row>
    <row r="77" spans="4:26" x14ac:dyDescent="0.3">
      <c r="D77" s="27" t="s">
        <v>90</v>
      </c>
      <c r="E77" s="17">
        <v>50</v>
      </c>
      <c r="F77" s="17" t="s">
        <v>83</v>
      </c>
      <c r="G77" s="17">
        <v>50</v>
      </c>
      <c r="H77" s="17" t="s">
        <v>83</v>
      </c>
      <c r="I77" s="17">
        <v>50</v>
      </c>
      <c r="J77" s="17" t="s">
        <v>83</v>
      </c>
      <c r="K77" s="17">
        <v>50</v>
      </c>
      <c r="L77" s="17" t="s">
        <v>83</v>
      </c>
      <c r="M77" s="17">
        <f t="shared" si="6"/>
        <v>50</v>
      </c>
      <c r="N77" s="17">
        <f t="shared" si="7"/>
        <v>50</v>
      </c>
      <c r="O77" s="17">
        <f t="shared" si="8"/>
        <v>200</v>
      </c>
      <c r="P77" s="17">
        <v>50</v>
      </c>
      <c r="Q77" s="17" t="s">
        <v>83</v>
      </c>
      <c r="R77" s="17">
        <v>50</v>
      </c>
      <c r="S77" s="17" t="s">
        <v>83</v>
      </c>
      <c r="T77" s="17">
        <v>50</v>
      </c>
      <c r="U77" s="17" t="s">
        <v>83</v>
      </c>
      <c r="V77" s="17">
        <v>50</v>
      </c>
      <c r="W77" s="17" t="s">
        <v>83</v>
      </c>
      <c r="X77" s="17">
        <f t="shared" si="9"/>
        <v>50</v>
      </c>
      <c r="Y77" s="17">
        <f t="shared" si="10"/>
        <v>50</v>
      </c>
      <c r="Z77" s="28">
        <f t="shared" si="11"/>
        <v>200</v>
      </c>
    </row>
    <row r="78" spans="4:26" x14ac:dyDescent="0.3">
      <c r="D78" s="29" t="s">
        <v>116</v>
      </c>
      <c r="E78" s="30">
        <v>15</v>
      </c>
      <c r="F78" s="30" t="s">
        <v>81</v>
      </c>
      <c r="G78" s="30">
        <v>47</v>
      </c>
      <c r="H78" s="30" t="s">
        <v>83</v>
      </c>
      <c r="I78" s="30">
        <v>48</v>
      </c>
      <c r="J78" s="30" t="s">
        <v>83</v>
      </c>
      <c r="K78" s="30">
        <v>37</v>
      </c>
      <c r="L78" s="30" t="s">
        <v>82</v>
      </c>
      <c r="M78" s="30">
        <f t="shared" si="6"/>
        <v>48</v>
      </c>
      <c r="N78" s="30">
        <f t="shared" si="7"/>
        <v>15</v>
      </c>
      <c r="O78" s="30">
        <f t="shared" si="8"/>
        <v>147</v>
      </c>
      <c r="P78" s="30">
        <v>1</v>
      </c>
      <c r="Q78" s="30" t="s">
        <v>80</v>
      </c>
      <c r="R78" s="30">
        <v>36</v>
      </c>
      <c r="S78" s="30" t="s">
        <v>82</v>
      </c>
      <c r="T78" s="30">
        <v>26</v>
      </c>
      <c r="U78" s="30" t="s">
        <v>81</v>
      </c>
      <c r="V78" s="30">
        <v>26</v>
      </c>
      <c r="W78" s="30" t="s">
        <v>81</v>
      </c>
      <c r="X78" s="30">
        <f t="shared" si="9"/>
        <v>36</v>
      </c>
      <c r="Y78" s="30">
        <f t="shared" si="10"/>
        <v>1</v>
      </c>
      <c r="Z78" s="31">
        <f t="shared" si="11"/>
        <v>89</v>
      </c>
    </row>
    <row r="82" spans="4:26" x14ac:dyDescent="0.3">
      <c r="D82" s="24" t="s">
        <v>274</v>
      </c>
      <c r="E82" s="25" t="s">
        <v>280</v>
      </c>
      <c r="F82" s="25" t="s">
        <v>281</v>
      </c>
      <c r="G82" s="25" t="s">
        <v>282</v>
      </c>
      <c r="H82" s="25" t="s">
        <v>283</v>
      </c>
      <c r="I82" s="25" t="s">
        <v>317</v>
      </c>
      <c r="J82" s="25" t="s">
        <v>316</v>
      </c>
      <c r="K82" s="25" t="s">
        <v>284</v>
      </c>
      <c r="L82" s="25" t="s">
        <v>285</v>
      </c>
      <c r="M82" s="25" t="s">
        <v>286</v>
      </c>
      <c r="N82" s="25" t="s">
        <v>287</v>
      </c>
      <c r="O82" s="25" t="s">
        <v>278</v>
      </c>
      <c r="P82" s="25" t="s">
        <v>288</v>
      </c>
      <c r="Q82" s="25" t="s">
        <v>289</v>
      </c>
      <c r="R82" s="25" t="s">
        <v>290</v>
      </c>
      <c r="S82" s="25" t="s">
        <v>291</v>
      </c>
      <c r="T82" s="25" t="s">
        <v>318</v>
      </c>
      <c r="U82" s="25" t="s">
        <v>319</v>
      </c>
      <c r="V82" s="25" t="s">
        <v>292</v>
      </c>
      <c r="W82" s="25" t="s">
        <v>293</v>
      </c>
      <c r="X82" s="25" t="s">
        <v>294</v>
      </c>
      <c r="Y82" s="25" t="s">
        <v>295</v>
      </c>
      <c r="Z82" s="26" t="s">
        <v>296</v>
      </c>
    </row>
    <row r="83" spans="4:26" x14ac:dyDescent="0.3">
      <c r="D83" s="27" t="s">
        <v>159</v>
      </c>
      <c r="E83" s="17">
        <v>16</v>
      </c>
      <c r="F83" s="17" t="s">
        <v>81</v>
      </c>
      <c r="G83" s="17">
        <v>9</v>
      </c>
      <c r="H83" s="17" t="s">
        <v>80</v>
      </c>
      <c r="I83" s="17">
        <v>15</v>
      </c>
      <c r="J83" s="17" t="s">
        <v>81</v>
      </c>
      <c r="K83" s="17">
        <v>22</v>
      </c>
      <c r="L83" s="17" t="s">
        <v>81</v>
      </c>
      <c r="M83" s="17">
        <f>MAX(E83,G83,I83,K83)</f>
        <v>22</v>
      </c>
      <c r="N83" s="17">
        <f>MIN(E83,G83,I83,K83)</f>
        <v>9</v>
      </c>
      <c r="O83" s="17">
        <f>SUM(E83,G83,I83,K83)</f>
        <v>62</v>
      </c>
      <c r="P83" s="17">
        <v>32</v>
      </c>
      <c r="Q83" s="17" t="s">
        <v>82</v>
      </c>
      <c r="R83" s="17">
        <v>16</v>
      </c>
      <c r="S83" s="17" t="s">
        <v>81</v>
      </c>
      <c r="T83" s="17">
        <v>20</v>
      </c>
      <c r="U83" s="17" t="s">
        <v>81</v>
      </c>
      <c r="V83" s="17">
        <v>36</v>
      </c>
      <c r="W83" s="17" t="s">
        <v>82</v>
      </c>
      <c r="X83" s="17">
        <f>MAX(P83,R83,T83,V83)</f>
        <v>36</v>
      </c>
      <c r="Y83" s="17">
        <f>MIN(P83,R83,T83,V83)</f>
        <v>16</v>
      </c>
      <c r="Z83" s="28">
        <f>SUM(P83,R83,T83,V83)</f>
        <v>104</v>
      </c>
    </row>
    <row r="84" spans="4:26" x14ac:dyDescent="0.3">
      <c r="D84" s="27" t="s">
        <v>154</v>
      </c>
      <c r="E84" s="17">
        <v>27</v>
      </c>
      <c r="F84" s="17" t="s">
        <v>81</v>
      </c>
      <c r="G84" s="17">
        <v>31</v>
      </c>
      <c r="H84" s="17" t="s">
        <v>82</v>
      </c>
      <c r="I84" s="17">
        <v>26</v>
      </c>
      <c r="J84" s="17" t="s">
        <v>81</v>
      </c>
      <c r="K84" s="17">
        <v>17</v>
      </c>
      <c r="L84" s="17" t="s">
        <v>81</v>
      </c>
      <c r="M84" s="17">
        <f t="shared" ref="M84:M112" si="12">MAX(E84,G84,I84,K84)</f>
        <v>31</v>
      </c>
      <c r="N84" s="17">
        <f t="shared" ref="N84:N112" si="13">MIN(E84,G84,I84,K84)</f>
        <v>17</v>
      </c>
      <c r="O84" s="17">
        <f t="shared" ref="O84:O112" si="14">SUM(E84,G84,I84,K84)</f>
        <v>101</v>
      </c>
      <c r="P84" s="17">
        <v>45</v>
      </c>
      <c r="Q84" s="17" t="s">
        <v>83</v>
      </c>
      <c r="R84" s="17">
        <v>32</v>
      </c>
      <c r="S84" s="17" t="s">
        <v>82</v>
      </c>
      <c r="T84" s="17">
        <v>36</v>
      </c>
      <c r="U84" s="17" t="s">
        <v>82</v>
      </c>
      <c r="V84" s="17">
        <v>19</v>
      </c>
      <c r="W84" s="17" t="s">
        <v>81</v>
      </c>
      <c r="X84" s="17">
        <f t="shared" ref="X84:X112" si="15">MAX(P84,R84,T84,V84)</f>
        <v>45</v>
      </c>
      <c r="Y84" s="17">
        <f t="shared" ref="Y84:Y112" si="16">MIN(P84,R84,T84,V84)</f>
        <v>19</v>
      </c>
      <c r="Z84" s="28">
        <f t="shared" ref="Z84:Z112" si="17">SUM(P84,R84,T84,V84)</f>
        <v>132</v>
      </c>
    </row>
    <row r="85" spans="4:26" x14ac:dyDescent="0.3">
      <c r="D85" s="27" t="s">
        <v>150</v>
      </c>
      <c r="E85" s="17">
        <v>13</v>
      </c>
      <c r="F85" s="17" t="s">
        <v>81</v>
      </c>
      <c r="G85" s="17">
        <v>45</v>
      </c>
      <c r="H85" s="17" t="s">
        <v>83</v>
      </c>
      <c r="I85" s="17">
        <v>46</v>
      </c>
      <c r="J85" s="17" t="s">
        <v>83</v>
      </c>
      <c r="K85" s="17">
        <v>24</v>
      </c>
      <c r="L85" s="17" t="s">
        <v>81</v>
      </c>
      <c r="M85" s="17">
        <f t="shared" si="12"/>
        <v>46</v>
      </c>
      <c r="N85" s="17">
        <f t="shared" si="13"/>
        <v>13</v>
      </c>
      <c r="O85" s="17">
        <f t="shared" si="14"/>
        <v>128</v>
      </c>
      <c r="P85" s="17">
        <v>35</v>
      </c>
      <c r="Q85" s="17" t="s">
        <v>82</v>
      </c>
      <c r="R85" s="17">
        <v>13</v>
      </c>
      <c r="S85" s="17" t="s">
        <v>81</v>
      </c>
      <c r="T85" s="17">
        <v>32</v>
      </c>
      <c r="U85" s="17" t="s">
        <v>82</v>
      </c>
      <c r="V85" s="17">
        <v>43</v>
      </c>
      <c r="W85" s="17" t="s">
        <v>83</v>
      </c>
      <c r="X85" s="17">
        <f t="shared" si="15"/>
        <v>43</v>
      </c>
      <c r="Y85" s="17">
        <f t="shared" si="16"/>
        <v>13</v>
      </c>
      <c r="Z85" s="28">
        <f t="shared" si="17"/>
        <v>123</v>
      </c>
    </row>
    <row r="86" spans="4:26" x14ac:dyDescent="0.3">
      <c r="D86" s="27" t="s">
        <v>164</v>
      </c>
      <c r="E86" s="17">
        <v>38</v>
      </c>
      <c r="F86" s="17" t="s">
        <v>82</v>
      </c>
      <c r="G86" s="17">
        <v>32</v>
      </c>
      <c r="H86" s="17" t="s">
        <v>82</v>
      </c>
      <c r="I86" s="17">
        <v>29</v>
      </c>
      <c r="J86" s="17" t="s">
        <v>81</v>
      </c>
      <c r="K86" s="17">
        <v>13</v>
      </c>
      <c r="L86" s="17" t="s">
        <v>81</v>
      </c>
      <c r="M86" s="17">
        <f t="shared" si="12"/>
        <v>38</v>
      </c>
      <c r="N86" s="17">
        <f t="shared" si="13"/>
        <v>13</v>
      </c>
      <c r="O86" s="17">
        <f t="shared" si="14"/>
        <v>112</v>
      </c>
      <c r="P86" s="17">
        <v>14</v>
      </c>
      <c r="Q86" s="17" t="s">
        <v>81</v>
      </c>
      <c r="R86" s="17">
        <v>50</v>
      </c>
      <c r="S86" s="17" t="s">
        <v>83</v>
      </c>
      <c r="T86" s="17">
        <v>27</v>
      </c>
      <c r="U86" s="17" t="s">
        <v>81</v>
      </c>
      <c r="V86" s="17">
        <v>11</v>
      </c>
      <c r="W86" s="17" t="s">
        <v>81</v>
      </c>
      <c r="X86" s="17">
        <f t="shared" si="15"/>
        <v>50</v>
      </c>
      <c r="Y86" s="17">
        <f t="shared" si="16"/>
        <v>11</v>
      </c>
      <c r="Z86" s="28">
        <f t="shared" si="17"/>
        <v>102</v>
      </c>
    </row>
    <row r="87" spans="4:26" x14ac:dyDescent="0.3">
      <c r="D87" s="27" t="s">
        <v>169</v>
      </c>
      <c r="E87" s="17">
        <v>12</v>
      </c>
      <c r="F87" s="17" t="s">
        <v>81</v>
      </c>
      <c r="G87" s="17">
        <v>13</v>
      </c>
      <c r="H87" s="17" t="s">
        <v>81</v>
      </c>
      <c r="I87" s="17">
        <v>30</v>
      </c>
      <c r="J87" s="17" t="s">
        <v>82</v>
      </c>
      <c r="K87" s="17">
        <v>6</v>
      </c>
      <c r="L87" s="17" t="s">
        <v>80</v>
      </c>
      <c r="M87" s="17">
        <f t="shared" si="12"/>
        <v>30</v>
      </c>
      <c r="N87" s="17">
        <f t="shared" si="13"/>
        <v>6</v>
      </c>
      <c r="O87" s="17">
        <f t="shared" si="14"/>
        <v>61</v>
      </c>
      <c r="P87" s="17">
        <v>8</v>
      </c>
      <c r="Q87" s="17" t="s">
        <v>80</v>
      </c>
      <c r="R87" s="17">
        <v>42</v>
      </c>
      <c r="S87" s="17" t="s">
        <v>83</v>
      </c>
      <c r="T87" s="17">
        <v>27</v>
      </c>
      <c r="U87" s="17" t="s">
        <v>81</v>
      </c>
      <c r="V87" s="17">
        <v>16</v>
      </c>
      <c r="W87" s="17" t="s">
        <v>81</v>
      </c>
      <c r="X87" s="17">
        <f t="shared" si="15"/>
        <v>42</v>
      </c>
      <c r="Y87" s="17">
        <f t="shared" si="16"/>
        <v>8</v>
      </c>
      <c r="Z87" s="28">
        <f t="shared" si="17"/>
        <v>93</v>
      </c>
    </row>
    <row r="88" spans="4:26" x14ac:dyDescent="0.3">
      <c r="D88" s="27" t="s">
        <v>197</v>
      </c>
      <c r="E88" s="17">
        <v>19</v>
      </c>
      <c r="F88" s="17" t="s">
        <v>81</v>
      </c>
      <c r="G88" s="17">
        <v>28</v>
      </c>
      <c r="H88" s="17" t="s">
        <v>81</v>
      </c>
      <c r="I88" s="17">
        <v>3</v>
      </c>
      <c r="J88" s="17" t="s">
        <v>80</v>
      </c>
      <c r="K88" s="17">
        <v>32</v>
      </c>
      <c r="L88" s="17" t="s">
        <v>82</v>
      </c>
      <c r="M88" s="17">
        <f t="shared" si="12"/>
        <v>32</v>
      </c>
      <c r="N88" s="17">
        <f t="shared" si="13"/>
        <v>3</v>
      </c>
      <c r="O88" s="17">
        <f t="shared" si="14"/>
        <v>82</v>
      </c>
      <c r="P88" s="17">
        <v>3</v>
      </c>
      <c r="Q88" s="17" t="s">
        <v>80</v>
      </c>
      <c r="R88" s="17">
        <v>34</v>
      </c>
      <c r="S88" s="17" t="s">
        <v>82</v>
      </c>
      <c r="T88" s="17">
        <v>34</v>
      </c>
      <c r="U88" s="17" t="s">
        <v>82</v>
      </c>
      <c r="V88" s="17">
        <v>42</v>
      </c>
      <c r="W88" s="17" t="s">
        <v>83</v>
      </c>
      <c r="X88" s="17">
        <f t="shared" si="15"/>
        <v>42</v>
      </c>
      <c r="Y88" s="17">
        <f t="shared" si="16"/>
        <v>3</v>
      </c>
      <c r="Z88" s="28">
        <f t="shared" si="17"/>
        <v>113</v>
      </c>
    </row>
    <row r="89" spans="4:26" x14ac:dyDescent="0.3">
      <c r="D89" s="27" t="s">
        <v>198</v>
      </c>
      <c r="E89" s="17">
        <v>4</v>
      </c>
      <c r="F89" s="17" t="s">
        <v>80</v>
      </c>
      <c r="G89" s="17">
        <v>30</v>
      </c>
      <c r="H89" s="17" t="s">
        <v>82</v>
      </c>
      <c r="I89" s="17">
        <v>20</v>
      </c>
      <c r="J89" s="17" t="s">
        <v>81</v>
      </c>
      <c r="K89" s="17">
        <v>47</v>
      </c>
      <c r="L89" s="17" t="s">
        <v>83</v>
      </c>
      <c r="M89" s="17">
        <f t="shared" si="12"/>
        <v>47</v>
      </c>
      <c r="N89" s="17">
        <f t="shared" si="13"/>
        <v>4</v>
      </c>
      <c r="O89" s="17">
        <f t="shared" si="14"/>
        <v>101</v>
      </c>
      <c r="P89" s="17">
        <v>32</v>
      </c>
      <c r="Q89" s="17" t="s">
        <v>82</v>
      </c>
      <c r="R89" s="17">
        <v>18</v>
      </c>
      <c r="S89" s="17" t="s">
        <v>81</v>
      </c>
      <c r="T89" s="17">
        <v>25</v>
      </c>
      <c r="U89" s="17" t="s">
        <v>81</v>
      </c>
      <c r="V89" s="17">
        <v>14</v>
      </c>
      <c r="W89" s="17" t="s">
        <v>81</v>
      </c>
      <c r="X89" s="17">
        <f t="shared" si="15"/>
        <v>32</v>
      </c>
      <c r="Y89" s="17">
        <f t="shared" si="16"/>
        <v>14</v>
      </c>
      <c r="Z89" s="28">
        <f t="shared" si="17"/>
        <v>89</v>
      </c>
    </row>
    <row r="90" spans="4:26" x14ac:dyDescent="0.3">
      <c r="D90" s="27" t="s">
        <v>193</v>
      </c>
      <c r="E90" s="17">
        <v>13</v>
      </c>
      <c r="F90" s="17" t="s">
        <v>81</v>
      </c>
      <c r="G90" s="17">
        <v>46</v>
      </c>
      <c r="H90" s="17" t="s">
        <v>83</v>
      </c>
      <c r="I90" s="17">
        <v>38</v>
      </c>
      <c r="J90" s="17" t="s">
        <v>82</v>
      </c>
      <c r="K90" s="17">
        <v>19</v>
      </c>
      <c r="L90" s="17" t="s">
        <v>81</v>
      </c>
      <c r="M90" s="17">
        <f t="shared" si="12"/>
        <v>46</v>
      </c>
      <c r="N90" s="17">
        <f t="shared" si="13"/>
        <v>13</v>
      </c>
      <c r="O90" s="17">
        <f t="shared" si="14"/>
        <v>116</v>
      </c>
      <c r="P90" s="17">
        <v>29</v>
      </c>
      <c r="Q90" s="17" t="s">
        <v>81</v>
      </c>
      <c r="R90" s="17">
        <v>4</v>
      </c>
      <c r="S90" s="17" t="s">
        <v>80</v>
      </c>
      <c r="T90" s="17">
        <v>6</v>
      </c>
      <c r="U90" s="17" t="s">
        <v>80</v>
      </c>
      <c r="V90" s="17">
        <v>1</v>
      </c>
      <c r="W90" s="17" t="s">
        <v>80</v>
      </c>
      <c r="X90" s="17">
        <f t="shared" si="15"/>
        <v>29</v>
      </c>
      <c r="Y90" s="17">
        <f t="shared" si="16"/>
        <v>1</v>
      </c>
      <c r="Z90" s="28">
        <f t="shared" si="17"/>
        <v>40</v>
      </c>
    </row>
    <row r="91" spans="4:26" x14ac:dyDescent="0.3">
      <c r="D91" s="27" t="s">
        <v>167</v>
      </c>
      <c r="E91" s="17">
        <v>3</v>
      </c>
      <c r="F91" s="17" t="s">
        <v>80</v>
      </c>
      <c r="G91" s="17">
        <v>32</v>
      </c>
      <c r="H91" s="17" t="s">
        <v>82</v>
      </c>
      <c r="I91" s="17">
        <v>45</v>
      </c>
      <c r="J91" s="17" t="s">
        <v>83</v>
      </c>
      <c r="K91" s="17">
        <v>25</v>
      </c>
      <c r="L91" s="17" t="s">
        <v>81</v>
      </c>
      <c r="M91" s="17">
        <f t="shared" si="12"/>
        <v>45</v>
      </c>
      <c r="N91" s="17">
        <f t="shared" si="13"/>
        <v>3</v>
      </c>
      <c r="O91" s="17">
        <f t="shared" si="14"/>
        <v>105</v>
      </c>
      <c r="P91" s="17">
        <v>1</v>
      </c>
      <c r="Q91" s="17" t="s">
        <v>80</v>
      </c>
      <c r="R91" s="17">
        <v>22</v>
      </c>
      <c r="S91" s="17" t="s">
        <v>81</v>
      </c>
      <c r="T91" s="17">
        <v>9</v>
      </c>
      <c r="U91" s="17" t="s">
        <v>80</v>
      </c>
      <c r="V91" s="17">
        <v>24</v>
      </c>
      <c r="W91" s="17" t="s">
        <v>81</v>
      </c>
      <c r="X91" s="17">
        <f t="shared" si="15"/>
        <v>24</v>
      </c>
      <c r="Y91" s="17">
        <f t="shared" si="16"/>
        <v>1</v>
      </c>
      <c r="Z91" s="28">
        <f t="shared" si="17"/>
        <v>56</v>
      </c>
    </row>
    <row r="92" spans="4:26" x14ac:dyDescent="0.3">
      <c r="D92" s="27" t="s">
        <v>153</v>
      </c>
      <c r="E92" s="17">
        <v>50</v>
      </c>
      <c r="F92" s="17" t="s">
        <v>83</v>
      </c>
      <c r="G92" s="17">
        <v>50</v>
      </c>
      <c r="H92" s="17" t="s">
        <v>83</v>
      </c>
      <c r="I92" s="17">
        <v>50</v>
      </c>
      <c r="J92" s="17" t="s">
        <v>83</v>
      </c>
      <c r="K92" s="17">
        <v>50</v>
      </c>
      <c r="L92" s="17" t="s">
        <v>83</v>
      </c>
      <c r="M92" s="17">
        <f t="shared" si="12"/>
        <v>50</v>
      </c>
      <c r="N92" s="17">
        <f t="shared" si="13"/>
        <v>50</v>
      </c>
      <c r="O92" s="17">
        <f t="shared" si="14"/>
        <v>200</v>
      </c>
      <c r="P92" s="17">
        <v>4</v>
      </c>
      <c r="Q92" s="17" t="s">
        <v>80</v>
      </c>
      <c r="R92" s="17">
        <v>18</v>
      </c>
      <c r="S92" s="17" t="s">
        <v>81</v>
      </c>
      <c r="T92" s="17">
        <v>1</v>
      </c>
      <c r="U92" s="17" t="s">
        <v>80</v>
      </c>
      <c r="V92" s="17">
        <v>40</v>
      </c>
      <c r="W92" s="17" t="s">
        <v>83</v>
      </c>
      <c r="X92" s="17">
        <f t="shared" si="15"/>
        <v>40</v>
      </c>
      <c r="Y92" s="17">
        <f t="shared" si="16"/>
        <v>1</v>
      </c>
      <c r="Z92" s="28">
        <f t="shared" si="17"/>
        <v>63</v>
      </c>
    </row>
    <row r="93" spans="4:26" x14ac:dyDescent="0.3">
      <c r="D93" s="27" t="s">
        <v>194</v>
      </c>
      <c r="E93" s="17">
        <v>20</v>
      </c>
      <c r="F93" s="17" t="s">
        <v>81</v>
      </c>
      <c r="G93" s="17">
        <v>29</v>
      </c>
      <c r="H93" s="17" t="s">
        <v>81</v>
      </c>
      <c r="I93" s="17">
        <v>9</v>
      </c>
      <c r="J93" s="17" t="s">
        <v>80</v>
      </c>
      <c r="K93" s="17">
        <v>26</v>
      </c>
      <c r="L93" s="17" t="s">
        <v>81</v>
      </c>
      <c r="M93" s="17">
        <f t="shared" si="12"/>
        <v>29</v>
      </c>
      <c r="N93" s="17">
        <f t="shared" si="13"/>
        <v>9</v>
      </c>
      <c r="O93" s="17">
        <f t="shared" si="14"/>
        <v>84</v>
      </c>
      <c r="P93" s="17">
        <v>30</v>
      </c>
      <c r="Q93" s="17" t="s">
        <v>82</v>
      </c>
      <c r="R93" s="17">
        <v>38</v>
      </c>
      <c r="S93" s="17" t="s">
        <v>82</v>
      </c>
      <c r="T93" s="17">
        <v>22</v>
      </c>
      <c r="U93" s="17" t="s">
        <v>81</v>
      </c>
      <c r="V93" s="17">
        <v>8</v>
      </c>
      <c r="W93" s="17" t="s">
        <v>80</v>
      </c>
      <c r="X93" s="17">
        <f t="shared" si="15"/>
        <v>38</v>
      </c>
      <c r="Y93" s="17">
        <f t="shared" si="16"/>
        <v>8</v>
      </c>
      <c r="Z93" s="28">
        <f t="shared" si="17"/>
        <v>98</v>
      </c>
    </row>
    <row r="94" spans="4:26" x14ac:dyDescent="0.3">
      <c r="D94" s="27" t="s">
        <v>192</v>
      </c>
      <c r="E94" s="17">
        <v>18</v>
      </c>
      <c r="F94" s="17" t="s">
        <v>81</v>
      </c>
      <c r="G94" s="17">
        <v>9</v>
      </c>
      <c r="H94" s="17" t="s">
        <v>80</v>
      </c>
      <c r="I94" s="17">
        <v>36</v>
      </c>
      <c r="J94" s="17" t="s">
        <v>82</v>
      </c>
      <c r="K94" s="17">
        <v>46</v>
      </c>
      <c r="L94" s="17" t="s">
        <v>83</v>
      </c>
      <c r="M94" s="17">
        <f t="shared" si="12"/>
        <v>46</v>
      </c>
      <c r="N94" s="17">
        <f t="shared" si="13"/>
        <v>9</v>
      </c>
      <c r="O94" s="17">
        <f t="shared" si="14"/>
        <v>109</v>
      </c>
      <c r="P94" s="17">
        <v>33</v>
      </c>
      <c r="Q94" s="17" t="s">
        <v>82</v>
      </c>
      <c r="R94" s="17">
        <v>12</v>
      </c>
      <c r="S94" s="17" t="s">
        <v>81</v>
      </c>
      <c r="T94" s="17">
        <v>10</v>
      </c>
      <c r="U94" s="17" t="s">
        <v>81</v>
      </c>
      <c r="V94" s="17">
        <v>9</v>
      </c>
      <c r="W94" s="17" t="s">
        <v>80</v>
      </c>
      <c r="X94" s="17">
        <f t="shared" si="15"/>
        <v>33</v>
      </c>
      <c r="Y94" s="17">
        <f t="shared" si="16"/>
        <v>9</v>
      </c>
      <c r="Z94" s="28">
        <f t="shared" si="17"/>
        <v>64</v>
      </c>
    </row>
    <row r="95" spans="4:26" x14ac:dyDescent="0.3">
      <c r="D95" s="27" t="s">
        <v>156</v>
      </c>
      <c r="E95" s="17">
        <v>17</v>
      </c>
      <c r="F95" s="17" t="s">
        <v>81</v>
      </c>
      <c r="G95" s="17">
        <v>35</v>
      </c>
      <c r="H95" s="17" t="s">
        <v>82</v>
      </c>
      <c r="I95" s="17">
        <v>21</v>
      </c>
      <c r="J95" s="17" t="s">
        <v>81</v>
      </c>
      <c r="K95" s="17">
        <v>46</v>
      </c>
      <c r="L95" s="17" t="s">
        <v>83</v>
      </c>
      <c r="M95" s="17">
        <f t="shared" si="12"/>
        <v>46</v>
      </c>
      <c r="N95" s="17">
        <f t="shared" si="13"/>
        <v>17</v>
      </c>
      <c r="O95" s="17">
        <f t="shared" si="14"/>
        <v>119</v>
      </c>
      <c r="P95" s="17">
        <v>17</v>
      </c>
      <c r="Q95" s="17" t="s">
        <v>81</v>
      </c>
      <c r="R95" s="17">
        <v>20</v>
      </c>
      <c r="S95" s="17" t="s">
        <v>81</v>
      </c>
      <c r="T95" s="17">
        <v>2</v>
      </c>
      <c r="U95" s="17" t="s">
        <v>80</v>
      </c>
      <c r="V95" s="17">
        <v>4</v>
      </c>
      <c r="W95" s="17" t="s">
        <v>80</v>
      </c>
      <c r="X95" s="17">
        <f t="shared" si="15"/>
        <v>20</v>
      </c>
      <c r="Y95" s="17">
        <f t="shared" si="16"/>
        <v>2</v>
      </c>
      <c r="Z95" s="28">
        <f t="shared" si="17"/>
        <v>43</v>
      </c>
    </row>
    <row r="96" spans="4:26" x14ac:dyDescent="0.3">
      <c r="D96" s="27" t="s">
        <v>199</v>
      </c>
      <c r="E96" s="17">
        <v>25</v>
      </c>
      <c r="F96" s="17" t="s">
        <v>81</v>
      </c>
      <c r="G96" s="17">
        <v>31</v>
      </c>
      <c r="H96" s="17" t="s">
        <v>82</v>
      </c>
      <c r="I96" s="17">
        <v>30</v>
      </c>
      <c r="J96" s="17" t="s">
        <v>82</v>
      </c>
      <c r="K96" s="17">
        <v>47</v>
      </c>
      <c r="L96" s="17" t="s">
        <v>83</v>
      </c>
      <c r="M96" s="17">
        <f t="shared" si="12"/>
        <v>47</v>
      </c>
      <c r="N96" s="17">
        <f t="shared" si="13"/>
        <v>25</v>
      </c>
      <c r="O96" s="17">
        <f t="shared" si="14"/>
        <v>133</v>
      </c>
      <c r="P96" s="17">
        <v>28</v>
      </c>
      <c r="Q96" s="17" t="s">
        <v>81</v>
      </c>
      <c r="R96" s="17">
        <v>11</v>
      </c>
      <c r="S96" s="17" t="s">
        <v>81</v>
      </c>
      <c r="T96" s="17">
        <v>30</v>
      </c>
      <c r="U96" s="17" t="s">
        <v>82</v>
      </c>
      <c r="V96" s="17">
        <v>21</v>
      </c>
      <c r="W96" s="17" t="s">
        <v>81</v>
      </c>
      <c r="X96" s="17">
        <f t="shared" si="15"/>
        <v>30</v>
      </c>
      <c r="Y96" s="17">
        <f t="shared" si="16"/>
        <v>11</v>
      </c>
      <c r="Z96" s="28">
        <f t="shared" si="17"/>
        <v>90</v>
      </c>
    </row>
    <row r="97" spans="4:26" x14ac:dyDescent="0.3">
      <c r="D97" s="27" t="s">
        <v>155</v>
      </c>
      <c r="E97" s="17">
        <v>11</v>
      </c>
      <c r="F97" s="17" t="s">
        <v>81</v>
      </c>
      <c r="G97" s="17">
        <v>34</v>
      </c>
      <c r="H97" s="17" t="s">
        <v>82</v>
      </c>
      <c r="I97" s="17">
        <v>6</v>
      </c>
      <c r="J97" s="17" t="s">
        <v>80</v>
      </c>
      <c r="K97" s="17">
        <v>16</v>
      </c>
      <c r="L97" s="17" t="s">
        <v>81</v>
      </c>
      <c r="M97" s="17">
        <f t="shared" si="12"/>
        <v>34</v>
      </c>
      <c r="N97" s="17">
        <f t="shared" si="13"/>
        <v>6</v>
      </c>
      <c r="O97" s="17">
        <f t="shared" si="14"/>
        <v>67</v>
      </c>
      <c r="P97" s="17">
        <v>50</v>
      </c>
      <c r="Q97" s="17" t="s">
        <v>83</v>
      </c>
      <c r="R97" s="17">
        <v>7</v>
      </c>
      <c r="S97" s="17" t="s">
        <v>80</v>
      </c>
      <c r="T97" s="17">
        <v>37</v>
      </c>
      <c r="U97" s="17" t="s">
        <v>82</v>
      </c>
      <c r="V97" s="17">
        <v>11</v>
      </c>
      <c r="W97" s="17" t="s">
        <v>81</v>
      </c>
      <c r="X97" s="17">
        <f t="shared" si="15"/>
        <v>50</v>
      </c>
      <c r="Y97" s="17">
        <f t="shared" si="16"/>
        <v>7</v>
      </c>
      <c r="Z97" s="28">
        <f t="shared" si="17"/>
        <v>105</v>
      </c>
    </row>
    <row r="98" spans="4:26" x14ac:dyDescent="0.3">
      <c r="D98" s="27" t="s">
        <v>196</v>
      </c>
      <c r="E98" s="17">
        <v>41</v>
      </c>
      <c r="F98" s="17" t="s">
        <v>83</v>
      </c>
      <c r="G98" s="17">
        <v>25</v>
      </c>
      <c r="H98" s="17" t="s">
        <v>81</v>
      </c>
      <c r="I98" s="17">
        <v>8</v>
      </c>
      <c r="J98" s="17" t="s">
        <v>80</v>
      </c>
      <c r="K98" s="17">
        <v>40</v>
      </c>
      <c r="L98" s="17" t="s">
        <v>83</v>
      </c>
      <c r="M98" s="17">
        <f t="shared" si="12"/>
        <v>41</v>
      </c>
      <c r="N98" s="17">
        <f t="shared" si="13"/>
        <v>8</v>
      </c>
      <c r="O98" s="17">
        <f t="shared" si="14"/>
        <v>114</v>
      </c>
      <c r="P98" s="17">
        <v>18</v>
      </c>
      <c r="Q98" s="17" t="s">
        <v>81</v>
      </c>
      <c r="R98" s="17">
        <v>11</v>
      </c>
      <c r="S98" s="17" t="s">
        <v>81</v>
      </c>
      <c r="T98" s="17">
        <v>21</v>
      </c>
      <c r="U98" s="17" t="s">
        <v>81</v>
      </c>
      <c r="V98" s="17">
        <v>42</v>
      </c>
      <c r="W98" s="17" t="s">
        <v>83</v>
      </c>
      <c r="X98" s="17">
        <f t="shared" si="15"/>
        <v>42</v>
      </c>
      <c r="Y98" s="17">
        <f t="shared" si="16"/>
        <v>11</v>
      </c>
      <c r="Z98" s="28">
        <f t="shared" si="17"/>
        <v>92</v>
      </c>
    </row>
    <row r="99" spans="4:26" x14ac:dyDescent="0.3">
      <c r="D99" s="27" t="s">
        <v>151</v>
      </c>
      <c r="E99" s="17">
        <v>23</v>
      </c>
      <c r="F99" s="17" t="s">
        <v>81</v>
      </c>
      <c r="G99" s="17">
        <v>39</v>
      </c>
      <c r="H99" s="17" t="s">
        <v>82</v>
      </c>
      <c r="I99" s="17">
        <v>18</v>
      </c>
      <c r="J99" s="17" t="s">
        <v>81</v>
      </c>
      <c r="K99" s="17">
        <v>26</v>
      </c>
      <c r="L99" s="17" t="s">
        <v>81</v>
      </c>
      <c r="M99" s="17">
        <f t="shared" si="12"/>
        <v>39</v>
      </c>
      <c r="N99" s="17">
        <f t="shared" si="13"/>
        <v>18</v>
      </c>
      <c r="O99" s="17">
        <f t="shared" si="14"/>
        <v>106</v>
      </c>
      <c r="P99" s="17">
        <v>48</v>
      </c>
      <c r="Q99" s="17" t="s">
        <v>83</v>
      </c>
      <c r="R99" s="17">
        <v>10</v>
      </c>
      <c r="S99" s="17" t="s">
        <v>81</v>
      </c>
      <c r="T99" s="17">
        <v>33</v>
      </c>
      <c r="U99" s="17" t="s">
        <v>82</v>
      </c>
      <c r="V99" s="17">
        <v>18</v>
      </c>
      <c r="W99" s="17" t="s">
        <v>81</v>
      </c>
      <c r="X99" s="17">
        <f t="shared" si="15"/>
        <v>48</v>
      </c>
      <c r="Y99" s="17">
        <f t="shared" si="16"/>
        <v>10</v>
      </c>
      <c r="Z99" s="28">
        <f t="shared" si="17"/>
        <v>109</v>
      </c>
    </row>
    <row r="100" spans="4:26" x14ac:dyDescent="0.3">
      <c r="D100" s="27" t="s">
        <v>195</v>
      </c>
      <c r="E100" s="17">
        <v>20</v>
      </c>
      <c r="F100" s="17" t="s">
        <v>81</v>
      </c>
      <c r="G100" s="17">
        <v>34</v>
      </c>
      <c r="H100" s="17" t="s">
        <v>82</v>
      </c>
      <c r="I100" s="17">
        <v>24</v>
      </c>
      <c r="J100" s="17" t="s">
        <v>81</v>
      </c>
      <c r="K100" s="17">
        <v>17</v>
      </c>
      <c r="L100" s="17" t="s">
        <v>81</v>
      </c>
      <c r="M100" s="17">
        <f t="shared" si="12"/>
        <v>34</v>
      </c>
      <c r="N100" s="17">
        <f t="shared" si="13"/>
        <v>17</v>
      </c>
      <c r="O100" s="17">
        <f t="shared" si="14"/>
        <v>95</v>
      </c>
      <c r="P100" s="17">
        <v>14</v>
      </c>
      <c r="Q100" s="17" t="s">
        <v>81</v>
      </c>
      <c r="R100" s="17">
        <v>36</v>
      </c>
      <c r="S100" s="17" t="s">
        <v>82</v>
      </c>
      <c r="T100" s="17">
        <v>5</v>
      </c>
      <c r="U100" s="17" t="s">
        <v>80</v>
      </c>
      <c r="V100" s="17">
        <v>19</v>
      </c>
      <c r="W100" s="17" t="s">
        <v>81</v>
      </c>
      <c r="X100" s="17">
        <f t="shared" si="15"/>
        <v>36</v>
      </c>
      <c r="Y100" s="17">
        <f t="shared" si="16"/>
        <v>5</v>
      </c>
      <c r="Z100" s="28">
        <f t="shared" si="17"/>
        <v>74</v>
      </c>
    </row>
    <row r="101" spans="4:26" x14ac:dyDescent="0.3">
      <c r="D101" s="27" t="s">
        <v>152</v>
      </c>
      <c r="E101" s="17">
        <v>7</v>
      </c>
      <c r="F101" s="17" t="s">
        <v>80</v>
      </c>
      <c r="G101" s="17">
        <v>47</v>
      </c>
      <c r="H101" s="17" t="s">
        <v>83</v>
      </c>
      <c r="I101" s="17">
        <v>4</v>
      </c>
      <c r="J101" s="17" t="s">
        <v>80</v>
      </c>
      <c r="K101" s="17">
        <v>7</v>
      </c>
      <c r="L101" s="17" t="s">
        <v>80</v>
      </c>
      <c r="M101" s="17">
        <f t="shared" si="12"/>
        <v>47</v>
      </c>
      <c r="N101" s="17">
        <f t="shared" si="13"/>
        <v>4</v>
      </c>
      <c r="O101" s="17">
        <f t="shared" si="14"/>
        <v>65</v>
      </c>
      <c r="P101" s="17">
        <v>38</v>
      </c>
      <c r="Q101" s="17" t="s">
        <v>82</v>
      </c>
      <c r="R101" s="17">
        <v>5</v>
      </c>
      <c r="S101" s="17" t="s">
        <v>80</v>
      </c>
      <c r="T101" s="17">
        <v>37</v>
      </c>
      <c r="U101" s="17" t="s">
        <v>82</v>
      </c>
      <c r="V101" s="17">
        <v>20</v>
      </c>
      <c r="W101" s="17" t="s">
        <v>81</v>
      </c>
      <c r="X101" s="17">
        <f t="shared" si="15"/>
        <v>38</v>
      </c>
      <c r="Y101" s="17">
        <f t="shared" si="16"/>
        <v>5</v>
      </c>
      <c r="Z101" s="28">
        <f t="shared" si="17"/>
        <v>100</v>
      </c>
    </row>
    <row r="102" spans="4:26" x14ac:dyDescent="0.3">
      <c r="D102" s="27" t="s">
        <v>166</v>
      </c>
      <c r="E102" s="17">
        <v>15</v>
      </c>
      <c r="F102" s="17" t="s">
        <v>81</v>
      </c>
      <c r="G102" s="17">
        <v>37</v>
      </c>
      <c r="H102" s="17" t="s">
        <v>82</v>
      </c>
      <c r="I102" s="17">
        <v>37</v>
      </c>
      <c r="J102" s="17" t="s">
        <v>82</v>
      </c>
      <c r="K102" s="17">
        <v>27</v>
      </c>
      <c r="L102" s="17" t="s">
        <v>81</v>
      </c>
      <c r="M102" s="17">
        <f t="shared" si="12"/>
        <v>37</v>
      </c>
      <c r="N102" s="17">
        <f t="shared" si="13"/>
        <v>15</v>
      </c>
      <c r="O102" s="17">
        <f t="shared" si="14"/>
        <v>116</v>
      </c>
      <c r="P102" s="17">
        <v>9</v>
      </c>
      <c r="Q102" s="17" t="s">
        <v>80</v>
      </c>
      <c r="R102" s="17">
        <v>29</v>
      </c>
      <c r="S102" s="17" t="s">
        <v>81</v>
      </c>
      <c r="T102" s="17">
        <v>14</v>
      </c>
      <c r="U102" s="17" t="s">
        <v>81</v>
      </c>
      <c r="V102" s="17">
        <v>34</v>
      </c>
      <c r="W102" s="17" t="s">
        <v>82</v>
      </c>
      <c r="X102" s="17">
        <f t="shared" si="15"/>
        <v>34</v>
      </c>
      <c r="Y102" s="17">
        <f t="shared" si="16"/>
        <v>9</v>
      </c>
      <c r="Z102" s="28">
        <f t="shared" si="17"/>
        <v>86</v>
      </c>
    </row>
    <row r="103" spans="4:26" x14ac:dyDescent="0.3">
      <c r="D103" s="27" t="s">
        <v>168</v>
      </c>
      <c r="E103" s="17">
        <v>48</v>
      </c>
      <c r="F103" s="17" t="s">
        <v>83</v>
      </c>
      <c r="G103" s="17">
        <v>2</v>
      </c>
      <c r="H103" s="17" t="s">
        <v>80</v>
      </c>
      <c r="I103" s="17">
        <v>19</v>
      </c>
      <c r="J103" s="17" t="s">
        <v>81</v>
      </c>
      <c r="K103" s="17">
        <v>28</v>
      </c>
      <c r="L103" s="17" t="s">
        <v>81</v>
      </c>
      <c r="M103" s="17">
        <f t="shared" si="12"/>
        <v>48</v>
      </c>
      <c r="N103" s="17">
        <f t="shared" si="13"/>
        <v>2</v>
      </c>
      <c r="O103" s="17">
        <f t="shared" si="14"/>
        <v>97</v>
      </c>
      <c r="P103" s="17">
        <v>39</v>
      </c>
      <c r="Q103" s="17" t="s">
        <v>82</v>
      </c>
      <c r="R103" s="17">
        <v>41</v>
      </c>
      <c r="S103" s="17" t="s">
        <v>83</v>
      </c>
      <c r="T103" s="17">
        <v>30</v>
      </c>
      <c r="U103" s="17" t="s">
        <v>82</v>
      </c>
      <c r="V103" s="17">
        <v>29</v>
      </c>
      <c r="W103" s="17" t="s">
        <v>81</v>
      </c>
      <c r="X103" s="17">
        <f t="shared" si="15"/>
        <v>41</v>
      </c>
      <c r="Y103" s="17">
        <f t="shared" si="16"/>
        <v>29</v>
      </c>
      <c r="Z103" s="28">
        <f t="shared" si="17"/>
        <v>139</v>
      </c>
    </row>
    <row r="104" spans="4:26" x14ac:dyDescent="0.3">
      <c r="D104" s="27" t="s">
        <v>190</v>
      </c>
      <c r="E104" s="17">
        <v>35</v>
      </c>
      <c r="F104" s="17" t="s">
        <v>82</v>
      </c>
      <c r="G104" s="17">
        <v>6</v>
      </c>
      <c r="H104" s="17" t="s">
        <v>80</v>
      </c>
      <c r="I104" s="17">
        <v>16</v>
      </c>
      <c r="J104" s="17" t="s">
        <v>81</v>
      </c>
      <c r="K104" s="17">
        <v>42</v>
      </c>
      <c r="L104" s="17" t="s">
        <v>83</v>
      </c>
      <c r="M104" s="17">
        <f t="shared" si="12"/>
        <v>42</v>
      </c>
      <c r="N104" s="17">
        <f t="shared" si="13"/>
        <v>6</v>
      </c>
      <c r="O104" s="17">
        <f t="shared" si="14"/>
        <v>99</v>
      </c>
      <c r="P104" s="17">
        <v>48</v>
      </c>
      <c r="Q104" s="17" t="s">
        <v>83</v>
      </c>
      <c r="R104" s="17">
        <v>35</v>
      </c>
      <c r="S104" s="17" t="s">
        <v>82</v>
      </c>
      <c r="T104" s="17">
        <v>29</v>
      </c>
      <c r="U104" s="17" t="s">
        <v>81</v>
      </c>
      <c r="V104" s="17">
        <v>19</v>
      </c>
      <c r="W104" s="17" t="s">
        <v>81</v>
      </c>
      <c r="X104" s="17">
        <f t="shared" si="15"/>
        <v>48</v>
      </c>
      <c r="Y104" s="17">
        <f t="shared" si="16"/>
        <v>19</v>
      </c>
      <c r="Z104" s="28">
        <f t="shared" si="17"/>
        <v>131</v>
      </c>
    </row>
    <row r="105" spans="4:26" x14ac:dyDescent="0.3">
      <c r="D105" s="27" t="s">
        <v>162</v>
      </c>
      <c r="E105" s="17">
        <v>3</v>
      </c>
      <c r="F105" s="17" t="s">
        <v>80</v>
      </c>
      <c r="G105" s="17">
        <v>46</v>
      </c>
      <c r="H105" s="17" t="s">
        <v>83</v>
      </c>
      <c r="I105" s="17">
        <v>29</v>
      </c>
      <c r="J105" s="17" t="s">
        <v>81</v>
      </c>
      <c r="K105" s="17">
        <v>16</v>
      </c>
      <c r="L105" s="17" t="s">
        <v>81</v>
      </c>
      <c r="M105" s="17">
        <f t="shared" si="12"/>
        <v>46</v>
      </c>
      <c r="N105" s="17">
        <f t="shared" si="13"/>
        <v>3</v>
      </c>
      <c r="O105" s="17">
        <f t="shared" si="14"/>
        <v>94</v>
      </c>
      <c r="P105" s="17">
        <v>47</v>
      </c>
      <c r="Q105" s="17" t="s">
        <v>83</v>
      </c>
      <c r="R105" s="17">
        <v>40</v>
      </c>
      <c r="S105" s="17" t="s">
        <v>83</v>
      </c>
      <c r="T105" s="17">
        <v>46</v>
      </c>
      <c r="U105" s="17" t="s">
        <v>83</v>
      </c>
      <c r="V105" s="17">
        <v>29</v>
      </c>
      <c r="W105" s="17" t="s">
        <v>81</v>
      </c>
      <c r="X105" s="17">
        <f t="shared" si="15"/>
        <v>47</v>
      </c>
      <c r="Y105" s="17">
        <f t="shared" si="16"/>
        <v>29</v>
      </c>
      <c r="Z105" s="28">
        <f t="shared" si="17"/>
        <v>162</v>
      </c>
    </row>
    <row r="106" spans="4:26" x14ac:dyDescent="0.3">
      <c r="D106" s="27" t="s">
        <v>191</v>
      </c>
      <c r="E106" s="17">
        <v>17</v>
      </c>
      <c r="F106" s="17" t="s">
        <v>81</v>
      </c>
      <c r="G106" s="17">
        <v>6</v>
      </c>
      <c r="H106" s="17" t="s">
        <v>80</v>
      </c>
      <c r="I106" s="17">
        <v>44</v>
      </c>
      <c r="J106" s="17" t="s">
        <v>83</v>
      </c>
      <c r="K106" s="17">
        <v>29</v>
      </c>
      <c r="L106" s="17" t="s">
        <v>81</v>
      </c>
      <c r="M106" s="17">
        <f t="shared" si="12"/>
        <v>44</v>
      </c>
      <c r="N106" s="17">
        <f t="shared" si="13"/>
        <v>6</v>
      </c>
      <c r="O106" s="17">
        <f t="shared" si="14"/>
        <v>96</v>
      </c>
      <c r="P106" s="17">
        <v>8</v>
      </c>
      <c r="Q106" s="17" t="s">
        <v>80</v>
      </c>
      <c r="R106" s="17">
        <v>19</v>
      </c>
      <c r="S106" s="17" t="s">
        <v>81</v>
      </c>
      <c r="T106" s="17">
        <v>50</v>
      </c>
      <c r="U106" s="17" t="s">
        <v>83</v>
      </c>
      <c r="V106" s="17">
        <v>33</v>
      </c>
      <c r="W106" s="17" t="s">
        <v>82</v>
      </c>
      <c r="X106" s="17">
        <f t="shared" si="15"/>
        <v>50</v>
      </c>
      <c r="Y106" s="17">
        <f t="shared" si="16"/>
        <v>8</v>
      </c>
      <c r="Z106" s="28">
        <f t="shared" si="17"/>
        <v>110</v>
      </c>
    </row>
    <row r="107" spans="4:26" x14ac:dyDescent="0.3">
      <c r="D107" s="27" t="s">
        <v>160</v>
      </c>
      <c r="E107" s="17">
        <v>35</v>
      </c>
      <c r="F107" s="17" t="s">
        <v>82</v>
      </c>
      <c r="G107" s="17">
        <v>45</v>
      </c>
      <c r="H107" s="17" t="s">
        <v>83</v>
      </c>
      <c r="I107" s="17">
        <v>29</v>
      </c>
      <c r="J107" s="17" t="s">
        <v>81</v>
      </c>
      <c r="K107" s="17">
        <v>30</v>
      </c>
      <c r="L107" s="17" t="s">
        <v>82</v>
      </c>
      <c r="M107" s="17">
        <f t="shared" si="12"/>
        <v>45</v>
      </c>
      <c r="N107" s="17">
        <f t="shared" si="13"/>
        <v>29</v>
      </c>
      <c r="O107" s="17">
        <f t="shared" si="14"/>
        <v>139</v>
      </c>
      <c r="P107" s="17">
        <v>40</v>
      </c>
      <c r="Q107" s="17" t="s">
        <v>83</v>
      </c>
      <c r="R107" s="17">
        <v>11</v>
      </c>
      <c r="S107" s="17" t="s">
        <v>81</v>
      </c>
      <c r="T107" s="17">
        <v>36</v>
      </c>
      <c r="U107" s="17" t="s">
        <v>82</v>
      </c>
      <c r="V107" s="17">
        <v>36</v>
      </c>
      <c r="W107" s="17" t="s">
        <v>82</v>
      </c>
      <c r="X107" s="17">
        <f t="shared" si="15"/>
        <v>40</v>
      </c>
      <c r="Y107" s="17">
        <f t="shared" si="16"/>
        <v>11</v>
      </c>
      <c r="Z107" s="28">
        <f t="shared" si="17"/>
        <v>123</v>
      </c>
    </row>
    <row r="108" spans="4:26" x14ac:dyDescent="0.3">
      <c r="D108" s="27" t="s">
        <v>158</v>
      </c>
      <c r="E108" s="17">
        <v>26</v>
      </c>
      <c r="F108" s="17" t="s">
        <v>81</v>
      </c>
      <c r="G108" s="17">
        <v>46</v>
      </c>
      <c r="H108" s="17" t="s">
        <v>83</v>
      </c>
      <c r="I108" s="17">
        <v>15</v>
      </c>
      <c r="J108" s="17" t="s">
        <v>81</v>
      </c>
      <c r="K108" s="17">
        <v>3</v>
      </c>
      <c r="L108" s="17" t="s">
        <v>80</v>
      </c>
      <c r="M108" s="17">
        <f t="shared" si="12"/>
        <v>46</v>
      </c>
      <c r="N108" s="17">
        <f t="shared" si="13"/>
        <v>3</v>
      </c>
      <c r="O108" s="17">
        <f t="shared" si="14"/>
        <v>90</v>
      </c>
      <c r="P108" s="17">
        <v>8</v>
      </c>
      <c r="Q108" s="17" t="s">
        <v>80</v>
      </c>
      <c r="R108" s="17">
        <v>50</v>
      </c>
      <c r="S108" s="17" t="s">
        <v>83</v>
      </c>
      <c r="T108" s="17">
        <v>19</v>
      </c>
      <c r="U108" s="17" t="s">
        <v>81</v>
      </c>
      <c r="V108" s="17">
        <v>37</v>
      </c>
      <c r="W108" s="17" t="s">
        <v>82</v>
      </c>
      <c r="X108" s="17">
        <f t="shared" si="15"/>
        <v>50</v>
      </c>
      <c r="Y108" s="17">
        <f t="shared" si="16"/>
        <v>8</v>
      </c>
      <c r="Z108" s="28">
        <f t="shared" si="17"/>
        <v>114</v>
      </c>
    </row>
    <row r="109" spans="4:26" x14ac:dyDescent="0.3">
      <c r="D109" s="27" t="s">
        <v>161</v>
      </c>
      <c r="E109" s="17">
        <v>19</v>
      </c>
      <c r="F109" s="17" t="s">
        <v>81</v>
      </c>
      <c r="G109" s="17">
        <v>20</v>
      </c>
      <c r="H109" s="17" t="s">
        <v>81</v>
      </c>
      <c r="I109" s="17">
        <v>33</v>
      </c>
      <c r="J109" s="17" t="s">
        <v>82</v>
      </c>
      <c r="K109" s="17">
        <v>46</v>
      </c>
      <c r="L109" s="17" t="s">
        <v>83</v>
      </c>
      <c r="M109" s="17">
        <f t="shared" si="12"/>
        <v>46</v>
      </c>
      <c r="N109" s="17">
        <f t="shared" si="13"/>
        <v>19</v>
      </c>
      <c r="O109" s="17">
        <f t="shared" si="14"/>
        <v>118</v>
      </c>
      <c r="P109" s="17">
        <v>33</v>
      </c>
      <c r="Q109" s="17" t="s">
        <v>82</v>
      </c>
      <c r="R109" s="17">
        <v>15</v>
      </c>
      <c r="S109" s="17" t="s">
        <v>81</v>
      </c>
      <c r="T109" s="17">
        <v>47</v>
      </c>
      <c r="U109" s="17" t="s">
        <v>83</v>
      </c>
      <c r="V109" s="17">
        <v>20</v>
      </c>
      <c r="W109" s="17" t="s">
        <v>81</v>
      </c>
      <c r="X109" s="17">
        <f t="shared" si="15"/>
        <v>47</v>
      </c>
      <c r="Y109" s="17">
        <f t="shared" si="16"/>
        <v>15</v>
      </c>
      <c r="Z109" s="28">
        <f t="shared" si="17"/>
        <v>115</v>
      </c>
    </row>
    <row r="110" spans="4:26" x14ac:dyDescent="0.3">
      <c r="D110" s="27" t="s">
        <v>163</v>
      </c>
      <c r="E110" s="17">
        <v>8</v>
      </c>
      <c r="F110" s="17" t="s">
        <v>80</v>
      </c>
      <c r="G110" s="17">
        <v>21</v>
      </c>
      <c r="H110" s="17" t="s">
        <v>81</v>
      </c>
      <c r="I110" s="17">
        <v>21</v>
      </c>
      <c r="J110" s="17" t="s">
        <v>81</v>
      </c>
      <c r="K110" s="17">
        <v>1</v>
      </c>
      <c r="L110" s="17" t="s">
        <v>80</v>
      </c>
      <c r="M110" s="17">
        <f t="shared" si="12"/>
        <v>21</v>
      </c>
      <c r="N110" s="17">
        <f t="shared" si="13"/>
        <v>1</v>
      </c>
      <c r="O110" s="17">
        <f t="shared" si="14"/>
        <v>51</v>
      </c>
      <c r="P110" s="17">
        <v>11</v>
      </c>
      <c r="Q110" s="17" t="s">
        <v>81</v>
      </c>
      <c r="R110" s="17">
        <v>42</v>
      </c>
      <c r="S110" s="17" t="s">
        <v>83</v>
      </c>
      <c r="T110" s="17">
        <v>19</v>
      </c>
      <c r="U110" s="17" t="s">
        <v>81</v>
      </c>
      <c r="V110" s="17">
        <v>5</v>
      </c>
      <c r="W110" s="17" t="s">
        <v>80</v>
      </c>
      <c r="X110" s="17">
        <f t="shared" si="15"/>
        <v>42</v>
      </c>
      <c r="Y110" s="17">
        <f t="shared" si="16"/>
        <v>5</v>
      </c>
      <c r="Z110" s="28">
        <f t="shared" si="17"/>
        <v>77</v>
      </c>
    </row>
    <row r="111" spans="4:26" x14ac:dyDescent="0.3">
      <c r="D111" s="27" t="s">
        <v>165</v>
      </c>
      <c r="E111" s="17">
        <v>45</v>
      </c>
      <c r="F111" s="17" t="s">
        <v>83</v>
      </c>
      <c r="G111" s="17">
        <v>9</v>
      </c>
      <c r="H111" s="17" t="s">
        <v>80</v>
      </c>
      <c r="I111" s="17">
        <v>36</v>
      </c>
      <c r="J111" s="17" t="s">
        <v>82</v>
      </c>
      <c r="K111" s="17">
        <v>26</v>
      </c>
      <c r="L111" s="17" t="s">
        <v>81</v>
      </c>
      <c r="M111" s="17">
        <f t="shared" si="12"/>
        <v>45</v>
      </c>
      <c r="N111" s="17">
        <f t="shared" si="13"/>
        <v>9</v>
      </c>
      <c r="O111" s="17">
        <f t="shared" si="14"/>
        <v>116</v>
      </c>
      <c r="P111" s="17">
        <v>17</v>
      </c>
      <c r="Q111" s="17" t="s">
        <v>81</v>
      </c>
      <c r="R111" s="17">
        <v>17</v>
      </c>
      <c r="S111" s="17" t="s">
        <v>81</v>
      </c>
      <c r="T111" s="17">
        <v>7</v>
      </c>
      <c r="U111" s="17" t="s">
        <v>80</v>
      </c>
      <c r="V111" s="17">
        <v>17</v>
      </c>
      <c r="W111" s="17" t="s">
        <v>81</v>
      </c>
      <c r="X111" s="17">
        <f t="shared" si="15"/>
        <v>17</v>
      </c>
      <c r="Y111" s="17">
        <f t="shared" si="16"/>
        <v>7</v>
      </c>
      <c r="Z111" s="28">
        <f t="shared" si="17"/>
        <v>58</v>
      </c>
    </row>
    <row r="112" spans="4:26" x14ac:dyDescent="0.3">
      <c r="D112" s="29" t="s">
        <v>157</v>
      </c>
      <c r="E112" s="30">
        <v>29</v>
      </c>
      <c r="F112" s="30" t="s">
        <v>81</v>
      </c>
      <c r="G112" s="30">
        <v>11</v>
      </c>
      <c r="H112" s="30" t="s">
        <v>81</v>
      </c>
      <c r="I112" s="30">
        <v>13</v>
      </c>
      <c r="J112" s="30" t="s">
        <v>81</v>
      </c>
      <c r="K112" s="30">
        <v>16</v>
      </c>
      <c r="L112" s="30" t="s">
        <v>81</v>
      </c>
      <c r="M112" s="30">
        <f t="shared" si="12"/>
        <v>29</v>
      </c>
      <c r="N112" s="30">
        <f t="shared" si="13"/>
        <v>11</v>
      </c>
      <c r="O112" s="30">
        <f t="shared" si="14"/>
        <v>69</v>
      </c>
      <c r="P112" s="30">
        <v>46</v>
      </c>
      <c r="Q112" s="30" t="s">
        <v>83</v>
      </c>
      <c r="R112" s="30">
        <v>25</v>
      </c>
      <c r="S112" s="30" t="s">
        <v>81</v>
      </c>
      <c r="T112" s="30">
        <v>34</v>
      </c>
      <c r="U112" s="30" t="s">
        <v>82</v>
      </c>
      <c r="V112" s="30">
        <v>50</v>
      </c>
      <c r="W112" s="30" t="s">
        <v>83</v>
      </c>
      <c r="X112" s="30">
        <f t="shared" si="15"/>
        <v>50</v>
      </c>
      <c r="Y112" s="30">
        <f t="shared" si="16"/>
        <v>25</v>
      </c>
      <c r="Z112" s="31">
        <f t="shared" si="17"/>
        <v>155</v>
      </c>
    </row>
  </sheetData>
  <sheetProtection sheet="1" objects="1" scenarios="1"/>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Menu</vt:lpstr>
      <vt:lpstr>Student search</vt:lpstr>
      <vt:lpstr>Data_valid</vt:lpstr>
      <vt:lpstr>Cyber Security (Level 1)</vt:lpstr>
      <vt:lpstr>Cyber Security (Level 2)</vt:lpstr>
      <vt:lpstr>Cyber Security (Level 3)</vt:lpstr>
      <vt:lpstr>Analysis Sheet</vt:lpstr>
      <vt:lpstr>Graphs</vt:lpstr>
      <vt:lpstr>resourse</vt:lpstr>
      <vt:lpstr>'Cyber Security (Level 2)'!D.O.B</vt:lpstr>
      <vt:lpstr>'Cyber Security (Level 3)'!D.O.B</vt:lpstr>
      <vt:lpstr>D.O.B</vt:lpstr>
      <vt:lpstr>'Cyber Security (Level 2)'!First_Name</vt:lpstr>
      <vt:lpstr>'Cyber Security (Level 3)'!First_Name</vt:lpstr>
      <vt:lpstr>First_Name</vt:lpstr>
      <vt:lpstr>FirstName</vt:lpstr>
      <vt:lpstr>FirstName1</vt:lpstr>
      <vt:lpstr>FirstName2</vt:lpstr>
      <vt:lpstr>FirstName3</vt:lpstr>
      <vt:lpstr>'Cyber Security (Level 2)'!Gender</vt:lpstr>
      <vt:lpstr>'Cyber Security (Level 3)'!Gender</vt:lpstr>
      <vt:lpstr>Gender</vt:lpstr>
      <vt:lpstr>'Cyber Security (Level 2)'!ID_number</vt:lpstr>
      <vt:lpstr>'Cyber Security (Level 3)'!ID_number</vt:lpstr>
      <vt:lpstr>ID_number</vt:lpstr>
      <vt:lpstr>'Cyber Security (Level 2)'!Last_Name</vt:lpstr>
      <vt:lpstr>'Cyber Security (Level 3)'!Last_Name</vt:lpstr>
      <vt:lpstr>Last_Name</vt:lpstr>
      <vt:lpstr>Level1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Abdullah</dc:creator>
  <cp:lastModifiedBy>Abdullah</cp:lastModifiedBy>
  <dcterms:created xsi:type="dcterms:W3CDTF">2015-06-05T18:17:20Z</dcterms:created>
  <dcterms:modified xsi:type="dcterms:W3CDTF">2021-01-15T14:28:55Z</dcterms:modified>
</cp:coreProperties>
</file>